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Retail-Sales-Analysis-main\Retail-Sales-Analysis-main\"/>
    </mc:Choice>
  </mc:AlternateContent>
  <xr:revisionPtr revIDLastSave="0" documentId="8_{3C5CC9D5-7E69-4963-8B62-B0DBE5B7148E}" xr6:coauthVersionLast="47" xr6:coauthVersionMax="47" xr10:uidLastSave="{00000000-0000-0000-0000-000000000000}"/>
  <bookViews>
    <workbookView xWindow="28680" yWindow="-120" windowWidth="29040" windowHeight="16440" xr2:uid="{1A648F6F-85EC-4FB5-BD34-36A84E572F05}"/>
  </bookViews>
  <sheets>
    <sheet name="Dashboard" sheetId="6" r:id="rId1"/>
    <sheet name="Sales Analysis" sheetId="4" r:id="rId2"/>
    <sheet name="Retail_Sales_Analysis_Dataset" sheetId="1" r:id="rId3"/>
    <sheet name="Data Quality Checks" sheetId="2" r:id="rId4"/>
    <sheet name="Customer Lookup" sheetId="5" r:id="rId5"/>
  </sheets>
  <calcPr calcId="191029"/>
  <pivotCaches>
    <pivotCache cacheId="3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5" l="1"/>
  <c r="B13" i="5"/>
  <c r="B12" i="5"/>
  <c r="B11" i="5"/>
  <c r="B9" i="5"/>
  <c r="B8" i="5"/>
  <c r="B6" i="5"/>
  <c r="B5" i="5"/>
  <c r="B4" i="5"/>
  <c r="B2" i="5"/>
  <c r="B15" i="5" s="1"/>
  <c r="B3" i="5"/>
  <c r="B7" i="5"/>
  <c r="B10" i="5"/>
  <c r="B11" i="2"/>
  <c r="B10" i="2" a="1"/>
  <c r="B10" i="2" s="1"/>
  <c r="C10" i="2" s="1"/>
  <c r="B9" i="2" a="1"/>
  <c r="B9" i="2" s="1"/>
  <c r="C9" i="2" s="1"/>
  <c r="B8" i="2"/>
  <c r="C8" i="2" s="1"/>
  <c r="B7" i="2"/>
  <c r="C7" i="2" s="1"/>
  <c r="B6" i="2"/>
  <c r="C6" i="2" s="1"/>
  <c r="B5" i="2"/>
  <c r="C5" i="2" s="1"/>
  <c r="B13" i="2" s="1"/>
  <c r="B4" i="2"/>
  <c r="C4" i="2" s="1"/>
  <c r="B3" i="2"/>
  <c r="C3" i="2" s="1"/>
  <c r="B12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<sst xmlns="http://schemas.openxmlformats.org/spreadsheetml/2006/main" count="2505" uniqueCount="813">
  <si>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</si>
  <si>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</si>
  <si>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</si>
  <si>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</si>
  <si>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</si>
  <si>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</si>
  <si>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</si>
  <si>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</si>
  <si>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</si>
  <si>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</si>
  <si>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</si>
  <si>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</si>
  <si>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</si>
  <si>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</si>
  <si>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</si>
  <si>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</si>
  <si>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</si>
  <si>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</si>
  <si>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</si>
  <si>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</si>
  <si>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ORD-1001</t>
  </si>
  <si>
    <t>Second Class</t>
  </si>
  <si>
    <t>CUST-110</t>
  </si>
  <si>
    <t>Sarah Miller</t>
  </si>
  <si>
    <t>Home Office</t>
  </si>
  <si>
    <t>East</t>
  </si>
  <si>
    <t>PROD-1008</t>
  </si>
  <si>
    <t>Office Supplies</t>
  </si>
  <si>
    <t>Binders</t>
  </si>
  <si>
    <t>Binders Product 17</t>
  </si>
  <si>
    <t>ORD-1002</t>
  </si>
  <si>
    <t>Standard Class</t>
  </si>
  <si>
    <t>CUST-151</t>
  </si>
  <si>
    <t>Thomas Morrison</t>
  </si>
  <si>
    <t>Corporate</t>
  </si>
  <si>
    <t>South</t>
  </si>
  <si>
    <t>PROD-1077</t>
  </si>
  <si>
    <t>Furniture</t>
  </si>
  <si>
    <t>Chairs</t>
  </si>
  <si>
    <t>Chairs Product 7</t>
  </si>
  <si>
    <t>ORD-1003</t>
  </si>
  <si>
    <t>Patricia Nunez</t>
  </si>
  <si>
    <t>PROD-1060</t>
  </si>
  <si>
    <t>Binders Product 12</t>
  </si>
  <si>
    <t>ORD-1004</t>
  </si>
  <si>
    <t>CUST-139</t>
  </si>
  <si>
    <t>Brian Ray</t>
  </si>
  <si>
    <t>West</t>
  </si>
  <si>
    <t>PROD-1028</t>
  </si>
  <si>
    <t>Tables</t>
  </si>
  <si>
    <t>Tables Product 17</t>
  </si>
  <si>
    <t>ORD-1005</t>
  </si>
  <si>
    <t>First Class</t>
  </si>
  <si>
    <t>Natasha Hickman</t>
  </si>
  <si>
    <t>PROD-1018</t>
  </si>
  <si>
    <t>Bookcases</t>
  </si>
  <si>
    <t>Bookcases Product 5</t>
  </si>
  <si>
    <t>ORD-1006</t>
  </si>
  <si>
    <t>CUST-172</t>
  </si>
  <si>
    <t>Kim Castillo</t>
  </si>
  <si>
    <t>PROD-1015</t>
  </si>
  <si>
    <t>Technology</t>
  </si>
  <si>
    <t>Accessories</t>
  </si>
  <si>
    <t>Accessories Product 2</t>
  </si>
  <si>
    <t>ORD-1007</t>
  </si>
  <si>
    <t>CUST-120</t>
  </si>
  <si>
    <t>Michael Gross</t>
  </si>
  <si>
    <t>Consumer</t>
  </si>
  <si>
    <t>Central</t>
  </si>
  <si>
    <t>PROD-1081</t>
  </si>
  <si>
    <t>Chairs Product 3</t>
  </si>
  <si>
    <t>ORD-1008</t>
  </si>
  <si>
    <t>CUST-189</t>
  </si>
  <si>
    <t>Brendan Davis</t>
  </si>
  <si>
    <t>PROD-1032</t>
  </si>
  <si>
    <t>Tables Product 23</t>
  </si>
  <si>
    <t>ORD-1009</t>
  </si>
  <si>
    <t>CUST-197</t>
  </si>
  <si>
    <t>Donna Davis</t>
  </si>
  <si>
    <t>PROD-1096</t>
  </si>
  <si>
    <t>Binders Product 15</t>
  </si>
  <si>
    <t>ORD-1010</t>
  </si>
  <si>
    <t>CUST-105</t>
  </si>
  <si>
    <t>Sara Martinez</t>
  </si>
  <si>
    <t>Chairs Product 6</t>
  </si>
  <si>
    <t>ORD-1011</t>
  </si>
  <si>
    <t>CUST-102</t>
  </si>
  <si>
    <t>Karen Dunn</t>
  </si>
  <si>
    <t>PROD-1057</t>
  </si>
  <si>
    <t>Binders Product 7</t>
  </si>
  <si>
    <t>ORD-1012</t>
  </si>
  <si>
    <t>CUST-184</t>
  </si>
  <si>
    <t>David Hanson</t>
  </si>
  <si>
    <t>PROD-1053</t>
  </si>
  <si>
    <t>Accessories Product 10</t>
  </si>
  <si>
    <t>ORD-1013</t>
  </si>
  <si>
    <t>CUST-112</t>
  </si>
  <si>
    <t>Daniel Benson</t>
  </si>
  <si>
    <t>PROD-1062</t>
  </si>
  <si>
    <t>Copiers</t>
  </si>
  <si>
    <t>Copiers Product 9</t>
  </si>
  <si>
    <t>ORD-1014</t>
  </si>
  <si>
    <t>CUST-108</t>
  </si>
  <si>
    <t>Marc Orozco</t>
  </si>
  <si>
    <t>PROD-1031</t>
  </si>
  <si>
    <t>Chairs Product 30</t>
  </si>
  <si>
    <t>ORD-1015</t>
  </si>
  <si>
    <t>CUST-134</t>
  </si>
  <si>
    <t>Danielle Liu</t>
  </si>
  <si>
    <t>PROD-1049</t>
  </si>
  <si>
    <t>Storage</t>
  </si>
  <si>
    <t>Storage Product 24</t>
  </si>
  <si>
    <t>ORD-1016</t>
  </si>
  <si>
    <t>CUST-161</t>
  </si>
  <si>
    <t>Amanda Harrison</t>
  </si>
  <si>
    <t>PROD-1072</t>
  </si>
  <si>
    <t>Chairs Product 11</t>
  </si>
  <si>
    <t>ORD-1017</t>
  </si>
  <si>
    <t>Lauren Jones</t>
  </si>
  <si>
    <t>Copiers Product 28</t>
  </si>
  <si>
    <t>ORD-1018</t>
  </si>
  <si>
    <t>CUST-121</t>
  </si>
  <si>
    <t>Matthew Smith</t>
  </si>
  <si>
    <t>PROD-1061</t>
  </si>
  <si>
    <t>Copiers Product 18</t>
  </si>
  <si>
    <t>ORD-1019</t>
  </si>
  <si>
    <t>CUST-117</t>
  </si>
  <si>
    <t>Peter Foley</t>
  </si>
  <si>
    <t>PROD-1045</t>
  </si>
  <si>
    <t>Tables Product 10</t>
  </si>
  <si>
    <t>ORD-1020</t>
  </si>
  <si>
    <t>CUST-143</t>
  </si>
  <si>
    <t>Angela Mayer</t>
  </si>
  <si>
    <t>PROD-1065</t>
  </si>
  <si>
    <t>Binders Product 13</t>
  </si>
  <si>
    <t>ORD-1021</t>
  </si>
  <si>
    <t>CUST-186</t>
  </si>
  <si>
    <t>George Fox</t>
  </si>
  <si>
    <t>Accessories Product 9</t>
  </si>
  <si>
    <t>ORD-1022</t>
  </si>
  <si>
    <t>CUST-114</t>
  </si>
  <si>
    <t>Lawrence Carr</t>
  </si>
  <si>
    <t>PROD-1013</t>
  </si>
  <si>
    <t>Storage Product 30</t>
  </si>
  <si>
    <t>ORD-1023</t>
  </si>
  <si>
    <t>CUST-164</t>
  </si>
  <si>
    <t>Misty Cooley</t>
  </si>
  <si>
    <t>PROD-1074</t>
  </si>
  <si>
    <t>Phones</t>
  </si>
  <si>
    <t>Phones Product 4</t>
  </si>
  <si>
    <t>ORD-1024</t>
  </si>
  <si>
    <t>CUST-150</t>
  </si>
  <si>
    <t>Brittany Hernandez</t>
  </si>
  <si>
    <t>PROD-1087</t>
  </si>
  <si>
    <t>Phones Product 14</t>
  </si>
  <si>
    <t>ORD-1025</t>
  </si>
  <si>
    <t>CUST-176</t>
  </si>
  <si>
    <t>Jennifer Cooper</t>
  </si>
  <si>
    <t>Paper</t>
  </si>
  <si>
    <t>Paper Product 24</t>
  </si>
  <si>
    <t>ORD-1026</t>
  </si>
  <si>
    <t>CUST-190</t>
  </si>
  <si>
    <t>Molly Lee</t>
  </si>
  <si>
    <t>Storage Product 27</t>
  </si>
  <si>
    <t>ORD-1027</t>
  </si>
  <si>
    <t>CUST-127</t>
  </si>
  <si>
    <t>Jaclyn Watkins</t>
  </si>
  <si>
    <t>PROD-1000</t>
  </si>
  <si>
    <t>Storage Product 12</t>
  </si>
  <si>
    <t>ORD-1028</t>
  </si>
  <si>
    <t>CUST-192</t>
  </si>
  <si>
    <t>Justin Parsons</t>
  </si>
  <si>
    <t>PROD-1089</t>
  </si>
  <si>
    <t>ORD-1029</t>
  </si>
  <si>
    <t>CUST-133</t>
  </si>
  <si>
    <t>Carly James</t>
  </si>
  <si>
    <t>PROD-1005</t>
  </si>
  <si>
    <t>Accessories Product 24</t>
  </si>
  <si>
    <t>ORD-1030</t>
  </si>
  <si>
    <t>CUST-188</t>
  </si>
  <si>
    <t>Connor Fuller</t>
  </si>
  <si>
    <t>Paper Product 7</t>
  </si>
  <si>
    <t>ORD-1031</t>
  </si>
  <si>
    <t>CUST-185</t>
  </si>
  <si>
    <t>Tony Phillips</t>
  </si>
  <si>
    <t>PROD-1052</t>
  </si>
  <si>
    <t>Tables Product 11</t>
  </si>
  <si>
    <t>ORD-1032</t>
  </si>
  <si>
    <t>Nancy Lee</t>
  </si>
  <si>
    <t>PROD-1068</t>
  </si>
  <si>
    <t>Copiers Product 11</t>
  </si>
  <si>
    <t>ORD-1033</t>
  </si>
  <si>
    <t>Robert Wheeler</t>
  </si>
  <si>
    <t>PROD-1100</t>
  </si>
  <si>
    <t>Bookcases Product 27</t>
  </si>
  <si>
    <t>ORD-1034</t>
  </si>
  <si>
    <t>CUST-113</t>
  </si>
  <si>
    <t>Matthew Atkins</t>
  </si>
  <si>
    <t>Copiers Product 19</t>
  </si>
  <si>
    <t>ORD-1035</t>
  </si>
  <si>
    <t>CUST-153</t>
  </si>
  <si>
    <t>Bonnie Espinoza</t>
  </si>
  <si>
    <t>PROD-1069</t>
  </si>
  <si>
    <t>Tables Product 29</t>
  </si>
  <si>
    <t>ORD-1036</t>
  </si>
  <si>
    <t>CUST-149</t>
  </si>
  <si>
    <t>Theodore Walsh</t>
  </si>
  <si>
    <t>ORD-1037</t>
  </si>
  <si>
    <t>CUST-154</t>
  </si>
  <si>
    <t>Timothy Mclaughlin</t>
  </si>
  <si>
    <t>Chairs Product 14</t>
  </si>
  <si>
    <t>ORD-1038</t>
  </si>
  <si>
    <t>CUST-168</t>
  </si>
  <si>
    <t>Katelyn Tate</t>
  </si>
  <si>
    <t>PROD-1092</t>
  </si>
  <si>
    <t>ORD-1039</t>
  </si>
  <si>
    <t>CUST-169</t>
  </si>
  <si>
    <t>Lawrence Duncan</t>
  </si>
  <si>
    <t>PROD-1097</t>
  </si>
  <si>
    <t>Phones Product 9</t>
  </si>
  <si>
    <t>ORD-1040</t>
  </si>
  <si>
    <t>Tricia Sanchez</t>
  </si>
  <si>
    <t>PROD-1037</t>
  </si>
  <si>
    <t>Chairs Product 20</t>
  </si>
  <si>
    <t>ORD-1041</t>
  </si>
  <si>
    <t>CUST-155</t>
  </si>
  <si>
    <t>Tracy Larson</t>
  </si>
  <si>
    <t>ORD-1042</t>
  </si>
  <si>
    <t>CUST-178</t>
  </si>
  <si>
    <t>Scott Wiley</t>
  </si>
  <si>
    <t>PROD-1059</t>
  </si>
  <si>
    <t>Binders Product 27</t>
  </si>
  <si>
    <t>ORD-1043</t>
  </si>
  <si>
    <t>CUST-125</t>
  </si>
  <si>
    <t>Kelly Reese</t>
  </si>
  <si>
    <t>PROD-1076</t>
  </si>
  <si>
    <t>Phones Product 27</t>
  </si>
  <si>
    <t>ORD-1044</t>
  </si>
  <si>
    <t>Jack Robles</t>
  </si>
  <si>
    <t>PROD-1014</t>
  </si>
  <si>
    <t>Copiers Product 22</t>
  </si>
  <si>
    <t>ORD-1045</t>
  </si>
  <si>
    <t>CUST-140</t>
  </si>
  <si>
    <t>Miranda Wood</t>
  </si>
  <si>
    <t>Paper Product 14</t>
  </si>
  <si>
    <t>ORD-1046</t>
  </si>
  <si>
    <t>John Stevenson</t>
  </si>
  <si>
    <t>ORD-1047</t>
  </si>
  <si>
    <t>CUST-144</t>
  </si>
  <si>
    <t>Jimmy Franklin</t>
  </si>
  <si>
    <t>Bookcases Product 30</t>
  </si>
  <si>
    <t>ORD-1048</t>
  </si>
  <si>
    <t>CUST-182</t>
  </si>
  <si>
    <t>Stephanie Everett</t>
  </si>
  <si>
    <t>Phones Product 17</t>
  </si>
  <si>
    <t>ORD-1049</t>
  </si>
  <si>
    <t>CUST-132</t>
  </si>
  <si>
    <t>Carl Hogan</t>
  </si>
  <si>
    <t>Tables Product 19</t>
  </si>
  <si>
    <t>ORD-1050</t>
  </si>
  <si>
    <t>CUST-165</t>
  </si>
  <si>
    <t>Timothy Jones</t>
  </si>
  <si>
    <t>PROD-1019</t>
  </si>
  <si>
    <t>Binders Product 30</t>
  </si>
  <si>
    <t>ORD-1051</t>
  </si>
  <si>
    <t>Shawn Harrison</t>
  </si>
  <si>
    <t>Tables Product 8</t>
  </si>
  <si>
    <t>ORD-1052</t>
  </si>
  <si>
    <t>CUST-115</t>
  </si>
  <si>
    <t>Kevin Bishop</t>
  </si>
  <si>
    <t>PROD-1073</t>
  </si>
  <si>
    <t>Copiers Product 20</t>
  </si>
  <si>
    <t>ORD-1053</t>
  </si>
  <si>
    <t>CUST-194</t>
  </si>
  <si>
    <t>Mr. Michael Ward</t>
  </si>
  <si>
    <t>PROD-1080</t>
  </si>
  <si>
    <t>Storage Product 14</t>
  </si>
  <si>
    <t>ORD-1054</t>
  </si>
  <si>
    <t>Joy Rodriguez</t>
  </si>
  <si>
    <t>PROD-1084</t>
  </si>
  <si>
    <t>Accessories Product 25</t>
  </si>
  <si>
    <t>ORD-1055</t>
  </si>
  <si>
    <t>CUST-124</t>
  </si>
  <si>
    <t>Nathan Coleman</t>
  </si>
  <si>
    <t>PROD-1030</t>
  </si>
  <si>
    <t>Tables Product 4</t>
  </si>
  <si>
    <t>ORD-1056</t>
  </si>
  <si>
    <t>Ryan Lloyd</t>
  </si>
  <si>
    <t>Chairs Product 9</t>
  </si>
  <si>
    <t>ORD-1057</t>
  </si>
  <si>
    <t>CUST-187</t>
  </si>
  <si>
    <t>Dr. Robin Miller DDS</t>
  </si>
  <si>
    <t>PROD-1056</t>
  </si>
  <si>
    <t>Storage Product 23</t>
  </si>
  <si>
    <t>ORD-1058</t>
  </si>
  <si>
    <t>CUST-195</t>
  </si>
  <si>
    <t>Cory Myers Jr.</t>
  </si>
  <si>
    <t>PROD-1027</t>
  </si>
  <si>
    <t>ORD-1059</t>
  </si>
  <si>
    <t>Darrell Heath</t>
  </si>
  <si>
    <t>PROD-1067</t>
  </si>
  <si>
    <t>Chairs Product 16</t>
  </si>
  <si>
    <t>ORD-1060</t>
  </si>
  <si>
    <t>Julie Martin</t>
  </si>
  <si>
    <t>Storage Product 7</t>
  </si>
  <si>
    <t>ORD-1061</t>
  </si>
  <si>
    <t>CUST-181</t>
  </si>
  <si>
    <t>Nathan Potter PhD</t>
  </si>
  <si>
    <t>PROD-1021</t>
  </si>
  <si>
    <t>Paper Product 21</t>
  </si>
  <si>
    <t>ORD-1062</t>
  </si>
  <si>
    <t>Caroline Casey</t>
  </si>
  <si>
    <t>Paper Product 20</t>
  </si>
  <si>
    <t>ORD-1063</t>
  </si>
  <si>
    <t>Charles Brown</t>
  </si>
  <si>
    <t>Chairs Product 23</t>
  </si>
  <si>
    <t>ORD-1064</t>
  </si>
  <si>
    <t>Kathy Campbell</t>
  </si>
  <si>
    <t>PROD-1050</t>
  </si>
  <si>
    <t>Phones Product 8</t>
  </si>
  <si>
    <t>ORD-1065</t>
  </si>
  <si>
    <t>CUST-198</t>
  </si>
  <si>
    <t>Robert Bryant</t>
  </si>
  <si>
    <t>ORD-1066</t>
  </si>
  <si>
    <t>CUST-174</t>
  </si>
  <si>
    <t>Kristin Campbell</t>
  </si>
  <si>
    <t>PROD-1017</t>
  </si>
  <si>
    <t>Storage Product 4</t>
  </si>
  <si>
    <t>ORD-1067</t>
  </si>
  <si>
    <t>Randall Woods</t>
  </si>
  <si>
    <t>PROD-1033</t>
  </si>
  <si>
    <t>Tables Product 16</t>
  </si>
  <si>
    <t>ORD-1068</t>
  </si>
  <si>
    <t>CUST-152</t>
  </si>
  <si>
    <t>Antonio Walker</t>
  </si>
  <si>
    <t>PROD-1094</t>
  </si>
  <si>
    <t>Bookcases Product 25</t>
  </si>
  <si>
    <t>ORD-1069</t>
  </si>
  <si>
    <t>CUST-162</t>
  </si>
  <si>
    <t>Michelle Mccoy</t>
  </si>
  <si>
    <t>PROD-1091</t>
  </si>
  <si>
    <t>ORD-1070</t>
  </si>
  <si>
    <t>Ryan Mccall</t>
  </si>
  <si>
    <t>Paper Product 27</t>
  </si>
  <si>
    <t>ORD-1071</t>
  </si>
  <si>
    <t>CUST-156</t>
  </si>
  <si>
    <t>Robert Walker MD</t>
  </si>
  <si>
    <t>Bookcases Product 29</t>
  </si>
  <si>
    <t>ORD-1072</t>
  </si>
  <si>
    <t>Jeffrey Dunn</t>
  </si>
  <si>
    <t>PROD-1042</t>
  </si>
  <si>
    <t>ORD-1073</t>
  </si>
  <si>
    <t>CUST-100</t>
  </si>
  <si>
    <t>John Logan</t>
  </si>
  <si>
    <t>PROD-1098</t>
  </si>
  <si>
    <t>Storage Product 25</t>
  </si>
  <si>
    <t>ORD-1074</t>
  </si>
  <si>
    <t>CUST-159</t>
  </si>
  <si>
    <t>Amber Campbell</t>
  </si>
  <si>
    <t>Phones Product 20</t>
  </si>
  <si>
    <t>ORD-1075</t>
  </si>
  <si>
    <t>Joshua Weaver</t>
  </si>
  <si>
    <t>ORD-1076</t>
  </si>
  <si>
    <t>Kathy Torres</t>
  </si>
  <si>
    <t>PROD-1025</t>
  </si>
  <si>
    <t>Accessories Product 20</t>
  </si>
  <si>
    <t>ORD-1077</t>
  </si>
  <si>
    <t>CUST-130</t>
  </si>
  <si>
    <t>Angela Nelson</t>
  </si>
  <si>
    <t>PROD-1043</t>
  </si>
  <si>
    <t>Copiers Product 23</t>
  </si>
  <si>
    <t>ORD-1078</t>
  </si>
  <si>
    <t>Jennifer Martin</t>
  </si>
  <si>
    <t>ORD-1079</t>
  </si>
  <si>
    <t>Mary Flowers</t>
  </si>
  <si>
    <t>ORD-1080</t>
  </si>
  <si>
    <t>CUST-158</t>
  </si>
  <si>
    <t>Marisa Dawson</t>
  </si>
  <si>
    <t>PROD-1016</t>
  </si>
  <si>
    <t>Storage Product 15</t>
  </si>
  <si>
    <t>ORD-1081</t>
  </si>
  <si>
    <t>Stephanie Johnson</t>
  </si>
  <si>
    <t>PROD-1046</t>
  </si>
  <si>
    <t>Tables Product 22</t>
  </si>
  <si>
    <t>ORD-1082</t>
  </si>
  <si>
    <t>Dawn Cox</t>
  </si>
  <si>
    <t>Chairs Product 25</t>
  </si>
  <si>
    <t>ORD-1083</t>
  </si>
  <si>
    <t>Margaret Torres</t>
  </si>
  <si>
    <t>Bookcases Product 10</t>
  </si>
  <si>
    <t>ORD-1084</t>
  </si>
  <si>
    <t>Richard Hodge</t>
  </si>
  <si>
    <t>Storage Product 19</t>
  </si>
  <si>
    <t>ORD-1085</t>
  </si>
  <si>
    <t>CUST-131</t>
  </si>
  <si>
    <t>Patricia Brooks</t>
  </si>
  <si>
    <t>Tables Product 21</t>
  </si>
  <si>
    <t>ORD-1086</t>
  </si>
  <si>
    <t>CUST-126</t>
  </si>
  <si>
    <t>Patricia Reed</t>
  </si>
  <si>
    <t>Phones Product 23</t>
  </si>
  <si>
    <t>ORD-1087</t>
  </si>
  <si>
    <t>CUST-103</t>
  </si>
  <si>
    <t>Anthony Carter</t>
  </si>
  <si>
    <t>PROD-1007</t>
  </si>
  <si>
    <t>Tables Product 27</t>
  </si>
  <si>
    <t>ORD-1088</t>
  </si>
  <si>
    <t>Mary Gomez</t>
  </si>
  <si>
    <t>PROD-1009</t>
  </si>
  <si>
    <t>Storage Product 20</t>
  </si>
  <si>
    <t>ORD-1089</t>
  </si>
  <si>
    <t>Daisy Dennis</t>
  </si>
  <si>
    <t>PROD-1024</t>
  </si>
  <si>
    <t>ORD-1090</t>
  </si>
  <si>
    <t>Timothy Stone</t>
  </si>
  <si>
    <t>PROD-1036</t>
  </si>
  <si>
    <t>Chairs Product 24</t>
  </si>
  <si>
    <t>ORD-1091</t>
  </si>
  <si>
    <t>CUST-101</t>
  </si>
  <si>
    <t>John Harris</t>
  </si>
  <si>
    <t>PROD-1064</t>
  </si>
  <si>
    <t>Phones Product 3</t>
  </si>
  <si>
    <t>ORD-1092</t>
  </si>
  <si>
    <t>Shannon Levine</t>
  </si>
  <si>
    <t>PROD-1001</t>
  </si>
  <si>
    <t>Binders Product 20</t>
  </si>
  <si>
    <t>ORD-1093</t>
  </si>
  <si>
    <t>Sharon Davis MD</t>
  </si>
  <si>
    <t>PROD-1034</t>
  </si>
  <si>
    <t>ORD-1094</t>
  </si>
  <si>
    <t>CUST-142</t>
  </si>
  <si>
    <t>William Reynolds</t>
  </si>
  <si>
    <t>Bookcases Product 21</t>
  </si>
  <si>
    <t>ORD-1095</t>
  </si>
  <si>
    <t>CUST-147</t>
  </si>
  <si>
    <t>Daniel Moore</t>
  </si>
  <si>
    <t>ORD-1096</t>
  </si>
  <si>
    <t>CUST-122</t>
  </si>
  <si>
    <t>Christine Miller</t>
  </si>
  <si>
    <t>Phones Product 12</t>
  </si>
  <si>
    <t>ORD-1097</t>
  </si>
  <si>
    <t>CUST-191</t>
  </si>
  <si>
    <t>Renee Acosta</t>
  </si>
  <si>
    <t>ORD-1098</t>
  </si>
  <si>
    <t>Tyler Martinez</t>
  </si>
  <si>
    <t>PROD-1095</t>
  </si>
  <si>
    <t>ORD-1099</t>
  </si>
  <si>
    <t>Natalie Clark</t>
  </si>
  <si>
    <t>Tables Product 6</t>
  </si>
  <si>
    <t>ORD-1100</t>
  </si>
  <si>
    <t>Gary Walters</t>
  </si>
  <si>
    <t>Copiers Product 17</t>
  </si>
  <si>
    <t>ORD-1101</t>
  </si>
  <si>
    <t>Christopher Sosa</t>
  </si>
  <si>
    <t>Bookcases Product 17</t>
  </si>
  <si>
    <t>ORD-1102</t>
  </si>
  <si>
    <t>Laura Murphy</t>
  </si>
  <si>
    <t>Accessories Product 30</t>
  </si>
  <si>
    <t>ORD-1103</t>
  </si>
  <si>
    <t>Danielle Manning</t>
  </si>
  <si>
    <t>PROD-1099</t>
  </si>
  <si>
    <t>Accessories Product 13</t>
  </si>
  <si>
    <t>ORD-1104</t>
  </si>
  <si>
    <t>Sierra Rush</t>
  </si>
  <si>
    <t>PROD-1012</t>
  </si>
  <si>
    <t>ORD-1105</t>
  </si>
  <si>
    <t>Shari Murphy DDS</t>
  </si>
  <si>
    <t>Storage Product 29</t>
  </si>
  <si>
    <t>ORD-1106</t>
  </si>
  <si>
    <t>Rebecca Hendrix</t>
  </si>
  <si>
    <t>ORD-1107</t>
  </si>
  <si>
    <t>James Beck</t>
  </si>
  <si>
    <t>ORD-1108</t>
  </si>
  <si>
    <t>Todd Long</t>
  </si>
  <si>
    <t>Binders Product 4</t>
  </si>
  <si>
    <t>ORD-1109</t>
  </si>
  <si>
    <t>CUST-109</t>
  </si>
  <si>
    <t>Cameron Mooney</t>
  </si>
  <si>
    <t>ORD-1110</t>
  </si>
  <si>
    <t>CUST-166</t>
  </si>
  <si>
    <t>Christine Young</t>
  </si>
  <si>
    <t>PROD-1010</t>
  </si>
  <si>
    <t>Chairs Product 22</t>
  </si>
  <si>
    <t>ORD-1111</t>
  </si>
  <si>
    <t>William Whitaker</t>
  </si>
  <si>
    <t>Paper Product 1</t>
  </si>
  <si>
    <t>ORD-1112</t>
  </si>
  <si>
    <t>CUST-160</t>
  </si>
  <si>
    <t>Amber Brown</t>
  </si>
  <si>
    <t>PROD-1075</t>
  </si>
  <si>
    <t>ORD-1113</t>
  </si>
  <si>
    <t>Robert Benson</t>
  </si>
  <si>
    <t>PROD-1051</t>
  </si>
  <si>
    <t>Accessories Product 6</t>
  </si>
  <si>
    <t>ORD-1114</t>
  </si>
  <si>
    <t>CUST-179</t>
  </si>
  <si>
    <t>Luke Crawford</t>
  </si>
  <si>
    <t>Storage Product 3</t>
  </si>
  <si>
    <t>ORD-1115</t>
  </si>
  <si>
    <t>Denise Grant</t>
  </si>
  <si>
    <t>PROD-1054</t>
  </si>
  <si>
    <t>Binders Product 19</t>
  </si>
  <si>
    <t>ORD-1116</t>
  </si>
  <si>
    <t>Adrian Proctor</t>
  </si>
  <si>
    <t>ORD-1117</t>
  </si>
  <si>
    <t>Melissa Howard</t>
  </si>
  <si>
    <t>ORD-1118</t>
  </si>
  <si>
    <t>Gregory Garcia</t>
  </si>
  <si>
    <t>ORD-1119</t>
  </si>
  <si>
    <t>Gregory Underwood</t>
  </si>
  <si>
    <t>Paper Product 2</t>
  </si>
  <si>
    <t>ORD-1120</t>
  </si>
  <si>
    <t>Adrienne Dorsey</t>
  </si>
  <si>
    <t>ORD-1121</t>
  </si>
  <si>
    <t>Natalie Castro</t>
  </si>
  <si>
    <t>PROD-1040</t>
  </si>
  <si>
    <t>ORD-1122</t>
  </si>
  <si>
    <t>CUST-107</t>
  </si>
  <si>
    <t>Kara Garcia</t>
  </si>
  <si>
    <t>Accessories Product 17</t>
  </si>
  <si>
    <t>ORD-1123</t>
  </si>
  <si>
    <t>Cindy Owens</t>
  </si>
  <si>
    <t>PROD-1086</t>
  </si>
  <si>
    <t>ORD-1124</t>
  </si>
  <si>
    <t>Mike Mercado</t>
  </si>
  <si>
    <t>Bookcases Product 1</t>
  </si>
  <si>
    <t>ORD-1125</t>
  </si>
  <si>
    <t>Autumn Liu</t>
  </si>
  <si>
    <t>ORD-1126</t>
  </si>
  <si>
    <t>David Anderson</t>
  </si>
  <si>
    <t>ORD-1127</t>
  </si>
  <si>
    <t>Zoe Nicholson</t>
  </si>
  <si>
    <t>ORD-1128</t>
  </si>
  <si>
    <t>John Parrish</t>
  </si>
  <si>
    <t>ORD-1129</t>
  </si>
  <si>
    <t>Denise Thompson</t>
  </si>
  <si>
    <t>PROD-1082</t>
  </si>
  <si>
    <t>ORD-1130</t>
  </si>
  <si>
    <t>CUST-119</t>
  </si>
  <si>
    <t>William Maxwell</t>
  </si>
  <si>
    <t>Phones Product 15</t>
  </si>
  <si>
    <t>ORD-1131</t>
  </si>
  <si>
    <t>Morgan Schwartz</t>
  </si>
  <si>
    <t>PROD-1070</t>
  </si>
  <si>
    <t>ORD-1132</t>
  </si>
  <si>
    <t>Sandra Wright</t>
  </si>
  <si>
    <t>PROD-1035</t>
  </si>
  <si>
    <t>ORD-1133</t>
  </si>
  <si>
    <t>Anthony Pollard</t>
  </si>
  <si>
    <t>Storage Product 26</t>
  </si>
  <si>
    <t>ORD-1134</t>
  </si>
  <si>
    <t>Carrie Horton</t>
  </si>
  <si>
    <t>PROD-1063</t>
  </si>
  <si>
    <t>Paper Product 23</t>
  </si>
  <si>
    <t>ORD-1135</t>
  </si>
  <si>
    <t>CUST-180</t>
  </si>
  <si>
    <t>Natalie Vaughn</t>
  </si>
  <si>
    <t>Paper Product 26</t>
  </si>
  <si>
    <t>ORD-1136</t>
  </si>
  <si>
    <t>Juan Holmes MD</t>
  </si>
  <si>
    <t>ORD-1137</t>
  </si>
  <si>
    <t>Alan Joyce</t>
  </si>
  <si>
    <t>Paper Product 6</t>
  </si>
  <si>
    <t>ORD-1138</t>
  </si>
  <si>
    <t>Paul Warren</t>
  </si>
  <si>
    <t>PROD-1011</t>
  </si>
  <si>
    <t>Accessories Product 7</t>
  </si>
  <si>
    <t>ORD-1139</t>
  </si>
  <si>
    <t>Aaron Phillips</t>
  </si>
  <si>
    <t>Paper Product 30</t>
  </si>
  <si>
    <t>ORD-1140</t>
  </si>
  <si>
    <t>Emily Ramirez</t>
  </si>
  <si>
    <t>ORD-1141</t>
  </si>
  <si>
    <t>Janice Rodriguez</t>
  </si>
  <si>
    <t>Storage Product 2</t>
  </si>
  <si>
    <t>ORD-1142</t>
  </si>
  <si>
    <t>Amy Park</t>
  </si>
  <si>
    <t>ORD-1143</t>
  </si>
  <si>
    <t>Danielle Jenkins</t>
  </si>
  <si>
    <t>Paper Product 29</t>
  </si>
  <si>
    <t>ORD-1144</t>
  </si>
  <si>
    <t>Matthew Yates</t>
  </si>
  <si>
    <t>Chairs Product 10</t>
  </si>
  <si>
    <t>ORD-1145</t>
  </si>
  <si>
    <t>Albert Morgan</t>
  </si>
  <si>
    <t>ORD-1146</t>
  </si>
  <si>
    <t>CUST-118</t>
  </si>
  <si>
    <t>Mr. David Allen III</t>
  </si>
  <si>
    <t>Paper Product 16</t>
  </si>
  <si>
    <t>ORD-1147</t>
  </si>
  <si>
    <t>CUST-135</t>
  </si>
  <si>
    <t>Kristy Fowler</t>
  </si>
  <si>
    <t>PROD-1020</t>
  </si>
  <si>
    <t>Paper Product 8</t>
  </si>
  <si>
    <t>ORD-1148</t>
  </si>
  <si>
    <t>CUST-128</t>
  </si>
  <si>
    <t>Steven Lee</t>
  </si>
  <si>
    <t>ORD-1149</t>
  </si>
  <si>
    <t>Brian Wheeler</t>
  </si>
  <si>
    <t>PROD-1004</t>
  </si>
  <si>
    <t>Binders Product 5</t>
  </si>
  <si>
    <t>ORD-1150</t>
  </si>
  <si>
    <t>Daniel Jones</t>
  </si>
  <si>
    <t>Binders Product 28</t>
  </si>
  <si>
    <t>ORD-1151</t>
  </si>
  <si>
    <t>Kelly Singh</t>
  </si>
  <si>
    <t>Bookcases Product 3</t>
  </si>
  <si>
    <t>ORD-1152</t>
  </si>
  <si>
    <t>Lindsey Green</t>
  </si>
  <si>
    <t>Accessories Product 11</t>
  </si>
  <si>
    <t>ORD-1153</t>
  </si>
  <si>
    <t>George Johnson</t>
  </si>
  <si>
    <t>PROD-1088</t>
  </si>
  <si>
    <t>Bookcases Product 12</t>
  </si>
  <si>
    <t>ORD-1154</t>
  </si>
  <si>
    <t>Ashley Fox</t>
  </si>
  <si>
    <t>Chairs Product 17</t>
  </si>
  <si>
    <t>ORD-1155</t>
  </si>
  <si>
    <t>Carlos Cobb</t>
  </si>
  <si>
    <t>ORD-1156</t>
  </si>
  <si>
    <t>Phillip Nguyen</t>
  </si>
  <si>
    <t>Copiers Product 26</t>
  </si>
  <si>
    <t>ORD-1157</t>
  </si>
  <si>
    <t>Donald Dominguez</t>
  </si>
  <si>
    <t>PROD-1058</t>
  </si>
  <si>
    <t>ORD-1158</t>
  </si>
  <si>
    <t>CUST-146</t>
  </si>
  <si>
    <t>Eric Moore</t>
  </si>
  <si>
    <t>ORD-1159</t>
  </si>
  <si>
    <t>Sarah White</t>
  </si>
  <si>
    <t>PROD-1048</t>
  </si>
  <si>
    <t>ORD-1160</t>
  </si>
  <si>
    <t>Samuel Owens</t>
  </si>
  <si>
    <t>Chairs Product 13</t>
  </si>
  <si>
    <t>ORD-1161</t>
  </si>
  <si>
    <t>Roger Hanson</t>
  </si>
  <si>
    <t>PROD-1003</t>
  </si>
  <si>
    <t>ORD-1162</t>
  </si>
  <si>
    <t>Melissa Gordon</t>
  </si>
  <si>
    <t>Bookcases Product 28</t>
  </si>
  <si>
    <t>ORD-1163</t>
  </si>
  <si>
    <t>Ashley Hunter</t>
  </si>
  <si>
    <t>ORD-1164</t>
  </si>
  <si>
    <t>CUST-141</t>
  </si>
  <si>
    <t>Kimberly Williams</t>
  </si>
  <si>
    <t>Accessories Product 1</t>
  </si>
  <si>
    <t>ORD-1165</t>
  </si>
  <si>
    <t>Jeanne Larson</t>
  </si>
  <si>
    <t>ORD-1166</t>
  </si>
  <si>
    <t>Christina Montes</t>
  </si>
  <si>
    <t>ORD-1167</t>
  </si>
  <si>
    <t>Madeline Fleming</t>
  </si>
  <si>
    <t>ORD-1168</t>
  </si>
  <si>
    <t>Benjamin Owens</t>
  </si>
  <si>
    <t>ORD-1169</t>
  </si>
  <si>
    <t>Maureen Wheeler</t>
  </si>
  <si>
    <t>Phones Product 29</t>
  </si>
  <si>
    <t>ORD-1170</t>
  </si>
  <si>
    <t>CUST-175</t>
  </si>
  <si>
    <t>Jody Turner</t>
  </si>
  <si>
    <t>Phones Product 24</t>
  </si>
  <si>
    <t>ORD-1171</t>
  </si>
  <si>
    <t>Andrew Johnson</t>
  </si>
  <si>
    <t>Chairs Product 27</t>
  </si>
  <si>
    <t>ORD-1172</t>
  </si>
  <si>
    <t>CUST-123</t>
  </si>
  <si>
    <t>Linda Patel</t>
  </si>
  <si>
    <t>Copiers Product 5</t>
  </si>
  <si>
    <t>ORD-1173</t>
  </si>
  <si>
    <t>Kristin Walker</t>
  </si>
  <si>
    <t>ORD-1174</t>
  </si>
  <si>
    <t>Steven Carlson</t>
  </si>
  <si>
    <t>ORD-1175</t>
  </si>
  <si>
    <t>CUST-137</t>
  </si>
  <si>
    <t>April Mendoza</t>
  </si>
  <si>
    <t>Bookcases Product 26</t>
  </si>
  <si>
    <t>ORD-1176</t>
  </si>
  <si>
    <t>John Payne</t>
  </si>
  <si>
    <t>Phones Product 2</t>
  </si>
  <si>
    <t>ORD-1177</t>
  </si>
  <si>
    <t>Kathryn Huffman</t>
  </si>
  <si>
    <t>Phones Product 6</t>
  </si>
  <si>
    <t>ORD-1178</t>
  </si>
  <si>
    <t>Isaac Wright</t>
  </si>
  <si>
    <t>Storage Product 17</t>
  </si>
  <si>
    <t>ORD-1179</t>
  </si>
  <si>
    <t>Matthew King</t>
  </si>
  <si>
    <t>ORD-1180</t>
  </si>
  <si>
    <t>Michael Mccullough</t>
  </si>
  <si>
    <t>ORD-1181</t>
  </si>
  <si>
    <t>Phones Product 30</t>
  </si>
  <si>
    <t>ORD-1182</t>
  </si>
  <si>
    <t>Zachary Hernandez</t>
  </si>
  <si>
    <t>ORD-1183</t>
  </si>
  <si>
    <t>Elizabeth Johnston</t>
  </si>
  <si>
    <t>Paper Product 4</t>
  </si>
  <si>
    <t>ORD-1184</t>
  </si>
  <si>
    <t>Deborah Bass</t>
  </si>
  <si>
    <t>Tables Product 7</t>
  </si>
  <si>
    <t>ORD-1185</t>
  </si>
  <si>
    <t>Keith Roberts</t>
  </si>
  <si>
    <t>PROD-1026</t>
  </si>
  <si>
    <t>ORD-1186</t>
  </si>
  <si>
    <t>CUST-183</t>
  </si>
  <si>
    <t>Jessica Murray</t>
  </si>
  <si>
    <t>ORD-1187</t>
  </si>
  <si>
    <t>Charles Harris</t>
  </si>
  <si>
    <t>ORD-1188</t>
  </si>
  <si>
    <t>Kathryn Fernandez</t>
  </si>
  <si>
    <t>Paper Product 19</t>
  </si>
  <si>
    <t>ORD-1189</t>
  </si>
  <si>
    <t>CUST-136</t>
  </si>
  <si>
    <t>Sarah Davis</t>
  </si>
  <si>
    <t>Tables Product 20</t>
  </si>
  <si>
    <t>ORD-1190</t>
  </si>
  <si>
    <t>Michelle Oliver</t>
  </si>
  <si>
    <t>Tables Product 15</t>
  </si>
  <si>
    <t>ORD-1191</t>
  </si>
  <si>
    <t>Phillip Aguilar</t>
  </si>
  <si>
    <t>Paper Product 13</t>
  </si>
  <si>
    <t>ORD-1192</t>
  </si>
  <si>
    <t>Meredith Jordan</t>
  </si>
  <si>
    <t>Binders Product 24</t>
  </si>
  <si>
    <t>ORD-1193</t>
  </si>
  <si>
    <t>Anthony Wallace</t>
  </si>
  <si>
    <t>Tables Product 2</t>
  </si>
  <si>
    <t>ORD-1194</t>
  </si>
  <si>
    <t>CUST-163</t>
  </si>
  <si>
    <t>Connie Carlson</t>
  </si>
  <si>
    <t>Chairs Product 8</t>
  </si>
  <si>
    <t>ORD-1195</t>
  </si>
  <si>
    <t>Vanessa Dickson</t>
  </si>
  <si>
    <t>Copiers Product 1</t>
  </si>
  <si>
    <t>ORD-1196</t>
  </si>
  <si>
    <t>CUST-157</t>
  </si>
  <si>
    <t>Katelyn Wright</t>
  </si>
  <si>
    <t>Bookcases Product 20</t>
  </si>
  <si>
    <t>ORD-1197</t>
  </si>
  <si>
    <t>Richard Cook</t>
  </si>
  <si>
    <t>PROD-1066</t>
  </si>
  <si>
    <t>Paper Product 28</t>
  </si>
  <si>
    <t>ORD-1198</t>
  </si>
  <si>
    <t>Joshua Mitchell</t>
  </si>
  <si>
    <t>ORD-1199</t>
  </si>
  <si>
    <t>CUST-173</t>
  </si>
  <si>
    <t>Kristopher Browning</t>
  </si>
  <si>
    <t>Binders Product 25</t>
  </si>
  <si>
    <t>ORD-1200</t>
  </si>
  <si>
    <t>Jeffrey Dalton</t>
  </si>
  <si>
    <t>USA</t>
  </si>
  <si>
    <t>CA</t>
  </si>
  <si>
    <t>TX</t>
  </si>
  <si>
    <t>FL</t>
  </si>
  <si>
    <t>NY</t>
  </si>
  <si>
    <t>IL</t>
  </si>
  <si>
    <t>PA</t>
  </si>
  <si>
    <t>Data Quality Check</t>
  </si>
  <si>
    <t>Status</t>
  </si>
  <si>
    <t>Results</t>
  </si>
  <si>
    <t>Missing Customer IDs</t>
  </si>
  <si>
    <t>Missing Order IDs</t>
  </si>
  <si>
    <t>Duplicate Row IDs</t>
  </si>
  <si>
    <t>Invalid Sales Values</t>
  </si>
  <si>
    <t>Negative Quantity</t>
  </si>
  <si>
    <t>Invalid Discount</t>
  </si>
  <si>
    <t>Ship Date Before Order Date</t>
  </si>
  <si>
    <t>Missing Ship Dates</t>
  </si>
  <si>
    <t>Data Quality Summary</t>
  </si>
  <si>
    <t>Total Checks</t>
  </si>
  <si>
    <t>Checks Passed</t>
  </si>
  <si>
    <t>Checks Requiring Review</t>
  </si>
  <si>
    <t>Grand Total</t>
  </si>
  <si>
    <t>Sum of Sales</t>
  </si>
  <si>
    <t>Regions</t>
  </si>
  <si>
    <t>Sum of Profit</t>
  </si>
  <si>
    <t>1. Which region generates the most sales?</t>
  </si>
  <si>
    <t>2. Which product category generates the most profit?</t>
  </si>
  <si>
    <t>Segments</t>
  </si>
  <si>
    <t>3. Which customer segment contributes the most revenue?</t>
  </si>
  <si>
    <t>Customer ID</t>
  </si>
  <si>
    <t>Customer Name</t>
  </si>
  <si>
    <t>OrderID</t>
  </si>
  <si>
    <t>Order Date</t>
  </si>
  <si>
    <t>Ship Mode</t>
  </si>
  <si>
    <t>Postal Code</t>
  </si>
  <si>
    <t>Product ID</t>
  </si>
  <si>
    <t>Sub Category</t>
  </si>
  <si>
    <t>Product Name</t>
  </si>
  <si>
    <t>Ship Date</t>
  </si>
  <si>
    <t>Customer Status</t>
  </si>
  <si>
    <t>TOTAL SALES</t>
  </si>
  <si>
    <t>TOTAL PROFIT</t>
  </si>
  <si>
    <t>PROFIT MARGIN</t>
  </si>
  <si>
    <t>TOTAL ORDERS</t>
  </si>
  <si>
    <t>QUANTITY SOLD</t>
  </si>
  <si>
    <t>DATA QUALITY</t>
  </si>
  <si>
    <t>8/8 PASS</t>
  </si>
  <si>
    <t>Retail Sales Data Quality &amp; Performance Dashboard</t>
  </si>
  <si>
    <t>Row Labels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</si>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</sst>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70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theme="6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4" fontId="0" fillId="0" borderId="0" xfId="0" applyNumberFormat="1"/>
    <xf numFmtId="0" fontId="0" fillId="33" borderId="10" xfId="0" applyFill="1" applyBorder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6" fillId="0" borderId="0" xfId="0" applyFont="1"/>
    <xf numFmtId="170" fontId="0" fillId="0" borderId="0" xfId="0" applyNumberFormat="1"/>
    <xf numFmtId="0" fontId="0" fillId="0" borderId="11" xfId="0" applyBorder="1"/>
    <xf numFmtId="0" fontId="16" fillId="0" borderId="12" xfId="0" applyFont="1" applyBorder="1"/>
    <xf numFmtId="0" fontId="0" fillId="0" borderId="12" xfId="0" applyBorder="1"/>
    <xf numFmtId="8" fontId="18" fillId="0" borderId="12" xfId="0" applyNumberFormat="1" applyFont="1" applyBorder="1" applyAlignment="1">
      <alignment horizontal="left"/>
    </xf>
    <xf numFmtId="10" fontId="18" fillId="0" borderId="12" xfId="0" applyNumberFormat="1" applyFont="1" applyBorder="1" applyAlignment="1">
      <alignment horizontal="left"/>
    </xf>
    <xf numFmtId="0" fontId="18" fillId="0" borderId="12" xfId="0" applyFont="1" applyBorder="1" applyAlignment="1">
      <alignment horizontal="left"/>
    </xf>
    <xf numFmtId="3" fontId="18" fillId="0" borderId="12" xfId="0" applyNumberFormat="1" applyFont="1" applyBorder="1" applyAlignment="1">
      <alignment horizontal="left"/>
    </xf>
    <xf numFmtId="0" fontId="18" fillId="0" borderId="12" xfId="0" applyFont="1" applyBorder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170" formatCode="&quot;$&quot;#,##0.00"/>
    </dxf>
    <dxf>
      <numFmt numFmtId="170" formatCode="&quot;$&quot;#,##0.00"/>
    </dxf>
    <dxf>
      <numFmt numFmtId="170" formatCode="&quot;$&quot;#,##0.00"/>
    </dxf>
    <dxf>
      <numFmt numFmtId="170" formatCode="&quot;$&quot;#,##0.00"/>
    </dxf>
    <dxf>
      <numFmt numFmtId="170" formatCode="&quot;$&quot;#,##0.00"/>
    </dxf>
    <dxf>
      <numFmt numFmtId="170" formatCode="&quot;$&quot;#,##0.00"/>
    </dxf>
    <dxf>
      <numFmt numFmtId="170" formatCode="&quot;$&quot;#,##0.00"/>
    </dxf>
    <dxf>
      <numFmt numFmtId="170" formatCode="&quot;$&quot;#,##0.00"/>
    </dxf>
    <dxf>
      <numFmt numFmtId="170" formatCode="&quot;$&quot;#,##0.00"/>
    </dxf>
    <dxf>
      <numFmt numFmtId="170" formatCode="&quot;$&quot;#,##0.00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[Retail_Sales_Data_Analysis.xlsx]Sales Analysis!PivotTable1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/>
              <a:t>Sales by Region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Analysis'!$B$4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Analysis'!$A$5:$A$9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Analysis'!$B$5:$B$9</c:f>
              <c:numCache>
                <c:formatCode>"$"#,##0.00</c:formatCode>
                <c:ptCount val="4"/>
                <c:pt idx="0">
                  <c:v>52829.339999999989</c:v>
                </c:pt>
                <c:pt idx="1">
                  <c:v>53139.570000000014</c:v>
                </c:pt>
                <c:pt idx="2">
                  <c:v>55317.47</c:v>
                </c:pt>
                <c:pt idx="3">
                  <c:v>45527.57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67-4CC0-8A1F-78307DFA3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6596528"/>
        <c:axId val="672004400"/>
      </c:barChart>
      <c:catAx>
        <c:axId val="67659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004400"/>
        <c:crosses val="autoZero"/>
        <c:auto val="1"/>
        <c:lblAlgn val="ctr"/>
        <c:lblOffset val="100"/>
        <c:noMultiLvlLbl val="0"/>
      </c:catAx>
      <c:valAx>
        <c:axId val="67200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59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[Retail_Sales_Data_Analysis.xlsx]Sales Analysis!PivotTable2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Profit by 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Analysis'!$G$4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Analysis'!$F$5:$F$8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Analysis'!$G$5:$G$8</c:f>
              <c:numCache>
                <c:formatCode>"$"#,##0.00</c:formatCode>
                <c:ptCount val="3"/>
                <c:pt idx="0">
                  <c:v>82138.139999999985</c:v>
                </c:pt>
                <c:pt idx="1">
                  <c:v>65671.380000000019</c:v>
                </c:pt>
                <c:pt idx="2">
                  <c:v>59004.429999999986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7-4219-A884-A0F758BD1632}"/>
            </c:ext>
          </c:extLst>
        </c:ser>
        <c:ser>
          <c:idx val="1"/>
          <c:order val="1"/>
          <c:tx>
            <c:strRef>
              <c:f>'Sales Analysis'!$H$4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Analysis'!$F$5:$F$8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Analysis'!$H$5:$H$8</c:f>
              <c:numCache>
                <c:formatCode>"$"#,##0.00</c:formatCode>
                <c:ptCount val="3"/>
                <c:pt idx="0">
                  <c:v>4826.5900000000011</c:v>
                </c:pt>
                <c:pt idx="1">
                  <c:v>4162.3799999999992</c:v>
                </c:pt>
                <c:pt idx="2">
                  <c:v>4053.5399999999991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77-4219-A884-A0F758BD1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031328"/>
        <c:axId val="540743888"/>
      </c:barChart>
      <c:catAx>
        <c:axId val="75703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743888"/>
        <c:crosses val="autoZero"/>
        <c:auto val="1"/>
        <c:lblAlgn val="ctr"/>
        <c:lblOffset val="100"/>
        <c:noMultiLvlLbl val="0"/>
      </c:catAx>
      <c:valAx>
        <c:axId val="54074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03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[Retail_Sales_Data_Analysis.xlsx]Sales Analysis!PivotTable3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Monthly Sales Trend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'Sales Analysis'!$G$12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'Sales Analysis'!$F$13:$F$33</c:f>
              <c:multiLvlStrCache>
                <c:ptCount val="1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'Sales Analysis'!$G$13:$G$33</c:f>
              <c:numCache>
                <c:formatCode>"$"#,##0.00</c:formatCode>
                <c:ptCount val="18"/>
                <c:pt idx="0">
                  <c:v>8106.39</c:v>
                </c:pt>
                <c:pt idx="1">
                  <c:v>12580.230000000003</c:v>
                </c:pt>
                <c:pt idx="2">
                  <c:v>10544.57</c:v>
                </c:pt>
                <c:pt idx="3">
                  <c:v>18183</c:v>
                </c:pt>
                <c:pt idx="4">
                  <c:v>18673.180000000004</c:v>
                </c:pt>
                <c:pt idx="5">
                  <c:v>15595.700000000003</c:v>
                </c:pt>
                <c:pt idx="6">
                  <c:v>11350.509999999998</c:v>
                </c:pt>
                <c:pt idx="7">
                  <c:v>10011.199999999999</c:v>
                </c:pt>
                <c:pt idx="8">
                  <c:v>7165.99</c:v>
                </c:pt>
                <c:pt idx="9">
                  <c:v>11558.320000000002</c:v>
                </c:pt>
                <c:pt idx="10">
                  <c:v>15764.199999999999</c:v>
                </c:pt>
                <c:pt idx="11">
                  <c:v>3684.91</c:v>
                </c:pt>
                <c:pt idx="12">
                  <c:v>7927.170000000001</c:v>
                </c:pt>
                <c:pt idx="13">
                  <c:v>16184.039999999999</c:v>
                </c:pt>
                <c:pt idx="14">
                  <c:v>8598.02</c:v>
                </c:pt>
                <c:pt idx="15">
                  <c:v>13955.94</c:v>
                </c:pt>
                <c:pt idx="16">
                  <c:v>12512.039999999999</c:v>
                </c:pt>
                <c:pt idx="17">
                  <c:v>4418.54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36-4680-BD96-B7931E417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977792"/>
        <c:axId val="672007760"/>
      </c:lineChart>
      <c:catAx>
        <c:axId val="77697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007760"/>
        <c:crosses val="autoZero"/>
        <c:auto val="1"/>
        <c:lblAlgn val="ctr"/>
        <c:lblOffset val="100"/>
        <c:noMultiLvlLbl val="0"/>
      </c:catAx>
      <c:valAx>
        <c:axId val="67200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977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0</xdr:row>
      <xdr:rowOff>177800</xdr:rowOff>
    </xdr:from>
    <xdr:to>
      <xdr:col>13</xdr:col>
      <xdr:colOff>339725</xdr:colOff>
      <xdr:row>14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292515-00A6-423B-A1F2-112B1C7EA7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606425</xdr:colOff>
      <xdr:row>8</xdr:row>
      <xdr:rowOff>120650</xdr:rowOff>
    </xdr:from>
    <xdr:to>
      <xdr:col>5</xdr:col>
      <xdr:colOff>273050</xdr:colOff>
      <xdr:row>26</xdr:row>
      <xdr:rowOff>131762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E698B3-52E7-418A-BBC7-4A9336A37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1352550</xdr:colOff>
      <xdr:row>17</xdr:row>
      <xdr:rowOff>9525</xdr:rowOff>
    </xdr:from>
    <xdr:to>
      <xdr:col>13</xdr:col>
      <xdr:colOff>304800</xdr:colOff>
      <xdr:row>32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BBC829-9C94-46A7-883D-24DB043450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shy" refreshedDate="46253.492665277779" createdVersion="8" refreshedVersion="8" minRefreshableVersion="3" recordCount="200" xr:uid="{035B4FDB-42BD-42BA-BC57-4201DB6DF86F}">
  <cacheSource type="worksheet">
    <worksheetSource name="RetailData"/>
  </cacheSource>
  <cacheFields count="22">
    <cacheField name="Row_ID" numFmtId="0">
      <sharedItems containsSemiMixedTypes="0" containsString="0" containsNumber="1" containsInteger="1" minValue="1" maxValue="200"/>
    </cacheField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5-06-22T00:00:00" count="170">
        <d v="2025-05-01T00:00:00"/>
        <d v="2025-04-25T00:00:00"/>
        <d v="2024-04-01T00:00:00"/>
        <d v="2024-08-16T00:00:00"/>
        <d v="2025-02-28T00:00:00"/>
        <d v="2024-02-15T00:00:00"/>
        <d v="2024-06-06T00:00:00"/>
        <d v="2024-04-20T00:00:00"/>
        <d v="2025-06-15T00:00:00"/>
        <d v="2025-02-06T00:00:00"/>
        <d v="2025-01-02T00:00:00"/>
        <d v="2025-03-18T00:00:00"/>
        <d v="2025-03-12T00:00:00"/>
        <d v="2024-11-13T00:00:00"/>
        <d v="2024-02-01T00:00:00"/>
        <d v="2024-10-15T00:00:00"/>
        <d v="2024-02-06T00:00:00"/>
        <d v="2024-09-10T00:00:00"/>
        <d v="2024-05-18T00:00:00"/>
        <d v="2025-04-28T00:00:00"/>
        <d v="2024-06-26T00:00:00"/>
        <d v="2025-02-02T00:00:00"/>
        <d v="2024-02-09T00:00:00"/>
        <d v="2025-04-06T00:00:00"/>
        <d v="2024-07-07T00:00:00"/>
        <d v="2024-11-08T00:00:00"/>
        <d v="2024-04-05T00:00:00"/>
        <d v="2024-07-14T00:00:00"/>
        <d v="2024-05-22T00:00:00"/>
        <d v="2025-04-19T00:00:00"/>
        <d v="2024-11-07T00:00:00"/>
        <d v="2024-11-09T00:00:00"/>
        <d v="2025-02-13T00:00:00"/>
        <d v="2025-05-08T00:00:00"/>
        <d v="2024-04-18T00:00:00"/>
        <d v="2024-03-11T00:00:00"/>
        <d v="2024-08-04T00:00:00"/>
        <d v="2024-09-06T00:00:00"/>
        <d v="2024-06-22T00:00:00"/>
        <d v="2025-05-03T00:00:00"/>
        <d v="2024-11-17T00:00:00"/>
        <d v="2024-06-08T00:00:00"/>
        <d v="2024-05-29T00:00:00"/>
        <d v="2025-03-05T00:00:00"/>
        <d v="2024-07-26T00:00:00"/>
        <d v="2024-06-04T00:00:00"/>
        <d v="2024-02-24T00:00:00"/>
        <d v="2024-04-25T00:00:00"/>
        <d v="2024-10-30T00:00:00"/>
        <d v="2024-05-09T00:00:00"/>
        <d v="2024-11-21T00:00:00"/>
        <d v="2025-02-07T00:00:00"/>
        <d v="2024-01-07T00:00:00"/>
        <d v="2024-01-14T00:00:00"/>
        <d v="2024-12-25T00:00:00"/>
        <d v="2024-02-05T00:00:00"/>
        <d v="2024-01-01T00:00:00"/>
        <d v="2024-03-04T00:00:00"/>
        <d v="2024-06-15T00:00:00"/>
        <d v="2024-03-17T00:00:00"/>
        <d v="2024-05-16T00:00:00"/>
        <d v="2024-10-23T00:00:00"/>
        <d v="2024-09-28T00:00:00"/>
        <d v="2025-05-29T00:00:00"/>
        <d v="2024-06-03T00:00:00"/>
        <d v="2024-03-29T00:00:00"/>
        <d v="2024-01-29T00:00:00"/>
        <d v="2024-11-04T00:00:00"/>
        <d v="2025-03-14T00:00:00"/>
        <d v="2025-04-04T00:00:00"/>
        <d v="2024-02-23T00:00:00"/>
        <d v="2025-03-30T00:00:00"/>
        <d v="2024-06-07T00:00:00"/>
        <d v="2024-12-08T00:00:00"/>
        <d v="2024-10-29T00:00:00"/>
        <d v="2024-01-16T00:00:00"/>
        <d v="2024-09-02T00:00:00"/>
        <d v="2024-08-13T00:00:00"/>
        <d v="2025-03-16T00:00:00"/>
        <d v="2024-07-13T00:00:00"/>
        <d v="2025-02-01T00:00:00"/>
        <d v="2025-05-27T00:00:00"/>
        <d v="2024-03-15T00:00:00"/>
        <d v="2024-04-03T00:00:00"/>
        <d v="2024-06-13T00:00:00"/>
        <d v="2024-01-21T00:00:00"/>
        <d v="2024-07-28T00:00:00"/>
        <d v="2024-05-12T00:00:00"/>
        <d v="2024-02-16T00:00:00"/>
        <d v="2025-06-03T00:00:00"/>
        <d v="2025-04-01T00:00:00"/>
        <d v="2024-08-27T00:00:00"/>
        <d v="2025-05-20T00:00:00"/>
        <d v="2024-05-05T00:00:00"/>
        <d v="2024-12-06T00:00:00"/>
        <d v="2024-07-19T00:00:00"/>
        <d v="2025-04-23T00:00:00"/>
        <d v="2025-06-05T00:00:00"/>
        <d v="2024-08-17T00:00:00"/>
        <d v="2024-10-01T00:00:00"/>
        <d v="2024-04-12T00:00:00"/>
        <d v="2024-11-11T00:00:00"/>
        <d v="2025-04-17T00:00:00"/>
        <d v="2025-05-23T00:00:00"/>
        <d v="2025-03-11T00:00:00"/>
        <d v="2024-10-18T00:00:00"/>
        <d v="2024-07-23T00:00:00"/>
        <d v="2024-11-23T00:00:00"/>
        <d v="2024-05-19T00:00:00"/>
        <d v="2024-09-01T00:00:00"/>
        <d v="2024-08-23T00:00:00"/>
        <d v="2025-04-09T00:00:00"/>
        <d v="2024-03-07T00:00:00"/>
        <d v="2024-11-22T00:00:00"/>
        <d v="2024-04-23T00:00:00"/>
        <d v="2025-04-12T00:00:00"/>
        <d v="2024-02-14T00:00:00"/>
        <d v="2024-07-12T00:00:00"/>
        <d v="2024-07-18T00:00:00"/>
        <d v="2024-05-26T00:00:00"/>
        <d v="2024-10-12T00:00:00"/>
        <d v="2025-01-18T00:00:00"/>
        <d v="2024-07-21T00:00:00"/>
        <d v="2025-05-14T00:00:00"/>
        <d v="2024-12-23T00:00:00"/>
        <d v="2024-04-04T00:00:00"/>
        <d v="2025-06-07T00:00:00"/>
        <d v="2025-01-13T00:00:00"/>
        <d v="2025-06-21T00:00:00"/>
        <d v="2024-02-12T00:00:00"/>
        <d v="2024-04-21T00:00:00"/>
        <d v="2024-12-01T00:00:00"/>
        <d v="2024-06-01T00:00:00"/>
        <d v="2024-11-30T00:00:00"/>
        <d v="2024-02-17T00:00:00"/>
        <d v="2024-05-20T00:00:00"/>
        <d v="2025-04-20T00:00:00"/>
        <d v="2024-10-27T00:00:00"/>
        <d v="2024-08-19T00:00:00"/>
        <d v="2024-07-01T00:00:00"/>
        <d v="2025-01-11T00:00:00"/>
        <d v="2024-10-04T00:00:00"/>
        <d v="2025-05-02T00:00:00"/>
        <d v="2024-07-06T00:00:00"/>
        <d v="2025-05-09T00:00:00"/>
        <d v="2024-01-22T00:00:00"/>
        <d v="2025-04-16T00:00:00"/>
        <d v="2024-11-01T00:00:00"/>
        <d v="2024-03-24T00:00:00"/>
        <d v="2025-02-05T00:00:00"/>
        <d v="2024-10-07T00:00:00"/>
        <d v="2024-01-04T00:00:00"/>
        <d v="2025-02-18T00:00:00"/>
        <d v="2024-01-11T00:00:00"/>
        <d v="2025-05-10T00:00:00"/>
        <d v="2024-05-07T00:00:00"/>
        <d v="2024-06-20T00:00:00"/>
        <d v="2024-11-12T00:00:00"/>
        <d v="2024-06-12T00:00:00"/>
        <d v="2024-02-20T00:00:00"/>
        <d v="2024-10-08T00:00:00"/>
        <d v="2024-08-03T00:00:00"/>
        <d v="2025-02-22T00:00:00"/>
        <d v="2025-01-17T00:00:00"/>
        <d v="2024-02-10T00:00:00"/>
        <d v="2024-11-02T00:00:00"/>
        <d v="2024-07-11T00:00:00"/>
        <d v="2024-06-30T00:00:00"/>
        <d v="2024-09-21T00:00:00"/>
        <d v="2025-05-17T00:00:00"/>
      </sharedItems>
      <fieldGroup par="21"/>
    </cacheField>
    <cacheField name="Ship_Date" numFmtId="14">
      <sharedItems containsSemiMixedTypes="0" containsNonDate="0" containsDate="1" containsString="0" minDate="2024-01-04T00:00:00" maxDate="2025-06-27T00:00:00"/>
    </cacheField>
    <cacheField name="Ship_Mode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 count="3">
        <s v="Home Office"/>
        <s v="Corporate"/>
        <s v="Consumer"/>
      </sharedItems>
    </cacheField>
    <cacheField name="Country" numFmtId="0">
      <sharedItems/>
    </cacheField>
    <cacheField name="State" numFmtId="0">
      <sharedItems/>
    </cacheField>
    <cacheField name="Postal_Code" numFmtId="0">
      <sharedItems containsSemiMixedTypes="0" containsString="0" containsNumber="1" containsInteger="1" minValue="101275" maxValue="996483"/>
    </cacheField>
    <cacheField name="Region" numFmtId="0">
      <sharedItems count="4">
        <s v="East"/>
        <s v="South"/>
        <s v="West"/>
        <s v="Central"/>
      </sharedItems>
    </cacheField>
    <cacheField name="Product_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/>
    </cacheField>
    <cacheField name="Product_Name" numFmtId="0">
      <sharedItems/>
    </cacheField>
    <cacheField name="Sales" numFmtId="0">
      <sharedItems containsSemiMixedTypes="0" containsString="0" containsNumber="1" minValue="35.75" maxValue="1995.48"/>
    </cacheField>
    <cacheField name="Quantity" numFmtId="0">
      <sharedItems containsSemiMixedTypes="0" containsString="0" containsNumber="1" containsInteger="1" minValue="1" maxValue="10"/>
    </cacheField>
    <cacheField name="Discount" numFmtId="0">
      <sharedItems containsSemiMixedTypes="0" containsString="0" containsNumber="1" minValue="0" maxValue="0.3"/>
    </cacheField>
    <cacheField name="Profit" numFmtId="0">
      <sharedItems containsSemiMixedTypes="0" containsString="0" containsNumber="1" minValue="-355.36" maxValue="655.37"/>
    </cacheField>
    <cacheField name="Months (Order_Date)" numFmtId="0" databaseField="0">
      <fieldGroup base="2">
        <rangePr groupBy="months" startDate="2024-01-01T00:00:00" endDate="2025-06-22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22/2025"/>
        </groupItems>
      </fieldGroup>
    </cacheField>
    <cacheField name="Years (Order_Date)" numFmtId="0" databaseField="0">
      <fieldGroup base="2">
        <rangePr groupBy="years" startDate="2024-01-01T00:00:00" endDate="2025-06-22T00:00:00"/>
        <groupItems count="4">
          <s v="&lt;1/1/2024"/>
          <s v="2024"/>
          <s v="2025"/>
          <s v="&gt;6/2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"/>
    <s v="ORD-1001"/>
    <x v="0"/>
    <d v="2025-05-06T00:00:00"/>
    <s v="Second Class"/>
    <s v="CUST-110"/>
    <s v="Sarah Miller"/>
    <x v="0"/>
    <s v="USA"/>
    <s v="PA"/>
    <n v="149273"/>
    <x v="0"/>
    <s v="PROD-1008"/>
    <x v="0"/>
    <s v="Binders"/>
    <s v="Binders Product 17"/>
    <n v="993.94"/>
    <n v="4"/>
    <n v="0.15"/>
    <n v="347.69"/>
  </r>
  <r>
    <n v="2"/>
    <s v="ORD-1002"/>
    <x v="1"/>
    <d v="2025-05-02T00:00:00"/>
    <s v="Standard Class"/>
    <s v="CUST-151"/>
    <s v="Thomas Morrison"/>
    <x v="1"/>
    <s v="USA"/>
    <s v="TX"/>
    <n v="540132"/>
    <x v="1"/>
    <s v="PROD-1077"/>
    <x v="1"/>
    <s v="Chairs"/>
    <s v="Chairs Product 7"/>
    <n v="1373.54"/>
    <n v="4"/>
    <n v="0.05"/>
    <n v="-107.08"/>
  </r>
  <r>
    <n v="3"/>
    <s v="ORD-1003"/>
    <x v="2"/>
    <d v="2024-04-05T00:00:00"/>
    <s v="Second Class"/>
    <s v="CUST-110"/>
    <s v="Patricia Nunez"/>
    <x v="0"/>
    <s v="USA"/>
    <s v="FL"/>
    <n v="548691"/>
    <x v="0"/>
    <s v="PROD-1060"/>
    <x v="0"/>
    <s v="Binders"/>
    <s v="Binders Product 12"/>
    <n v="862.85"/>
    <n v="6"/>
    <n v="0.1"/>
    <n v="-155.54"/>
  </r>
  <r>
    <n v="4"/>
    <s v="ORD-1004"/>
    <x v="3"/>
    <d v="2024-08-18T00:00:00"/>
    <s v="Second Class"/>
    <s v="CUST-139"/>
    <s v="Brian Ray"/>
    <x v="1"/>
    <s v="USA"/>
    <s v="NY"/>
    <n v="458226"/>
    <x v="2"/>
    <s v="PROD-1028"/>
    <x v="1"/>
    <s v="Tables"/>
    <s v="Tables Product 17"/>
    <n v="1897.57"/>
    <n v="7"/>
    <n v="0.15"/>
    <n v="-90.96"/>
  </r>
  <r>
    <n v="5"/>
    <s v="ORD-1005"/>
    <x v="4"/>
    <d v="2025-03-07T00:00:00"/>
    <s v="First Class"/>
    <s v="CUST-151"/>
    <s v="Natasha Hickman"/>
    <x v="1"/>
    <s v="USA"/>
    <s v="IL"/>
    <n v="810712"/>
    <x v="0"/>
    <s v="PROD-1018"/>
    <x v="1"/>
    <s v="Bookcases"/>
    <s v="Bookcases Product 5"/>
    <n v="1260.76"/>
    <n v="4"/>
    <n v="0.1"/>
    <n v="2.42"/>
  </r>
  <r>
    <n v="6"/>
    <s v="ORD-1006"/>
    <x v="5"/>
    <d v="2024-02-20T00:00:00"/>
    <s v="Second Class"/>
    <s v="CUST-172"/>
    <s v="Kim Castillo"/>
    <x v="0"/>
    <s v="USA"/>
    <s v="PA"/>
    <n v="467704"/>
    <x v="0"/>
    <s v="PROD-1015"/>
    <x v="2"/>
    <s v="Accessories"/>
    <s v="Accessories Product 2"/>
    <n v="758.09"/>
    <n v="5"/>
    <n v="0.05"/>
    <n v="5.42"/>
  </r>
  <r>
    <n v="7"/>
    <s v="ORD-1007"/>
    <x v="6"/>
    <d v="2024-06-10T00:00:00"/>
    <s v="Second Class"/>
    <s v="CUST-120"/>
    <s v="Michael Gross"/>
    <x v="2"/>
    <s v="USA"/>
    <s v="NY"/>
    <n v="796952"/>
    <x v="3"/>
    <s v="PROD-1081"/>
    <x v="1"/>
    <s v="Chairs"/>
    <s v="Chairs Product 3"/>
    <n v="760.78"/>
    <n v="5"/>
    <n v="0.1"/>
    <n v="222.42"/>
  </r>
  <r>
    <n v="8"/>
    <s v="ORD-1008"/>
    <x v="7"/>
    <d v="2024-04-26T00:00:00"/>
    <s v="Standard Class"/>
    <s v="CUST-189"/>
    <s v="Brendan Davis"/>
    <x v="0"/>
    <s v="USA"/>
    <s v="NY"/>
    <n v="369451"/>
    <x v="3"/>
    <s v="PROD-1032"/>
    <x v="1"/>
    <s v="Tables"/>
    <s v="Tables Product 23"/>
    <n v="1849.17"/>
    <n v="9"/>
    <n v="0"/>
    <n v="79.88"/>
  </r>
  <r>
    <n v="9"/>
    <s v="ORD-1009"/>
    <x v="8"/>
    <d v="2025-06-18T00:00:00"/>
    <s v="Standard Class"/>
    <s v="CUST-197"/>
    <s v="Donna Davis"/>
    <x v="2"/>
    <s v="USA"/>
    <s v="NY"/>
    <n v="660243"/>
    <x v="1"/>
    <s v="PROD-1096"/>
    <x v="0"/>
    <s v="Binders"/>
    <s v="Binders Product 15"/>
    <n v="1905.62"/>
    <n v="9"/>
    <n v="0.1"/>
    <n v="499.88"/>
  </r>
  <r>
    <n v="10"/>
    <s v="ORD-1010"/>
    <x v="9"/>
    <d v="2025-02-11T00:00:00"/>
    <s v="Standard Class"/>
    <s v="CUST-105"/>
    <s v="Sara Martinez"/>
    <x v="0"/>
    <s v="USA"/>
    <s v="NY"/>
    <n v="624183"/>
    <x v="3"/>
    <s v="PROD-1032"/>
    <x v="1"/>
    <s v="Chairs"/>
    <s v="Chairs Product 6"/>
    <n v="1661.32"/>
    <n v="1"/>
    <n v="0.1"/>
    <n v="-123.19"/>
  </r>
  <r>
    <n v="11"/>
    <s v="ORD-1011"/>
    <x v="10"/>
    <d v="2025-01-05T00:00:00"/>
    <s v="Standard Class"/>
    <s v="CUST-102"/>
    <s v="Karen Dunn"/>
    <x v="0"/>
    <s v="USA"/>
    <s v="IL"/>
    <n v="527500"/>
    <x v="3"/>
    <s v="PROD-1057"/>
    <x v="0"/>
    <s v="Binders"/>
    <s v="Binders Product 7"/>
    <n v="1936.07"/>
    <n v="7"/>
    <n v="0"/>
    <n v="532.03"/>
  </r>
  <r>
    <n v="12"/>
    <s v="ORD-1012"/>
    <x v="11"/>
    <d v="2025-03-22T00:00:00"/>
    <s v="Standard Class"/>
    <s v="CUST-184"/>
    <s v="David Hanson"/>
    <x v="1"/>
    <s v="USA"/>
    <s v="PA"/>
    <n v="638739"/>
    <x v="1"/>
    <s v="PROD-1053"/>
    <x v="2"/>
    <s v="Accessories"/>
    <s v="Accessories Product 10"/>
    <n v="1724.85"/>
    <n v="7"/>
    <n v="0.2"/>
    <n v="67.61"/>
  </r>
  <r>
    <n v="13"/>
    <s v="ORD-1013"/>
    <x v="12"/>
    <d v="2025-03-13T00:00:00"/>
    <s v="First Class"/>
    <s v="CUST-112"/>
    <s v="Daniel Benson"/>
    <x v="0"/>
    <s v="USA"/>
    <s v="NY"/>
    <n v="695964"/>
    <x v="1"/>
    <s v="PROD-1062"/>
    <x v="2"/>
    <s v="Copiers"/>
    <s v="Copiers Product 9"/>
    <n v="418.88"/>
    <n v="8"/>
    <n v="0"/>
    <n v="-28.19"/>
  </r>
  <r>
    <n v="14"/>
    <s v="ORD-1014"/>
    <x v="13"/>
    <d v="2024-11-19T00:00:00"/>
    <s v="Second Class"/>
    <s v="CUST-108"/>
    <s v="Marc Orozco"/>
    <x v="0"/>
    <s v="USA"/>
    <s v="NY"/>
    <n v="711483"/>
    <x v="1"/>
    <s v="PROD-1031"/>
    <x v="1"/>
    <s v="Chairs"/>
    <s v="Chairs Product 30"/>
    <n v="1393.64"/>
    <n v="9"/>
    <n v="0.15"/>
    <n v="-107.05"/>
  </r>
  <r>
    <n v="15"/>
    <s v="ORD-1015"/>
    <x v="14"/>
    <d v="2024-02-02T00:00:00"/>
    <s v="First Class"/>
    <s v="CUST-134"/>
    <s v="Danielle Liu"/>
    <x v="2"/>
    <s v="USA"/>
    <s v="IL"/>
    <n v="767646"/>
    <x v="1"/>
    <s v="PROD-1049"/>
    <x v="0"/>
    <s v="Storage"/>
    <s v="Storage Product 24"/>
    <n v="1671.37"/>
    <n v="5"/>
    <n v="0.1"/>
    <n v="127.81"/>
  </r>
  <r>
    <n v="16"/>
    <s v="ORD-1016"/>
    <x v="15"/>
    <d v="2024-10-20T00:00:00"/>
    <s v="Standard Class"/>
    <s v="CUST-161"/>
    <s v="Amanda Harrison"/>
    <x v="2"/>
    <s v="USA"/>
    <s v="IL"/>
    <n v="508230"/>
    <x v="2"/>
    <s v="PROD-1072"/>
    <x v="1"/>
    <s v="Chairs"/>
    <s v="Chairs Product 11"/>
    <n v="1382.96"/>
    <n v="2"/>
    <n v="0.15"/>
    <n v="278.02"/>
  </r>
  <r>
    <n v="17"/>
    <s v="ORD-1017"/>
    <x v="16"/>
    <d v="2024-02-13T00:00:00"/>
    <s v="First Class"/>
    <s v="CUST-102"/>
    <s v="Lauren Jones"/>
    <x v="1"/>
    <s v="USA"/>
    <s v="IL"/>
    <n v="329182"/>
    <x v="3"/>
    <s v="PROD-1032"/>
    <x v="2"/>
    <s v="Copiers"/>
    <s v="Copiers Product 28"/>
    <n v="272.97000000000003"/>
    <n v="8"/>
    <n v="0"/>
    <n v="-51.52"/>
  </r>
  <r>
    <n v="18"/>
    <s v="ORD-1018"/>
    <x v="17"/>
    <d v="2024-09-16T00:00:00"/>
    <s v="Second Class"/>
    <s v="CUST-121"/>
    <s v="Matthew Smith"/>
    <x v="2"/>
    <s v="USA"/>
    <s v="IL"/>
    <n v="949958"/>
    <x v="0"/>
    <s v="PROD-1061"/>
    <x v="2"/>
    <s v="Copiers"/>
    <s v="Copiers Product 18"/>
    <n v="133.47"/>
    <n v="5"/>
    <n v="0.3"/>
    <n v="11.66"/>
  </r>
  <r>
    <n v="19"/>
    <s v="ORD-1019"/>
    <x v="18"/>
    <d v="2024-05-24T00:00:00"/>
    <s v="Second Class"/>
    <s v="CUST-117"/>
    <s v="Peter Foley"/>
    <x v="0"/>
    <s v="USA"/>
    <s v="PA"/>
    <n v="784031"/>
    <x v="0"/>
    <s v="PROD-1045"/>
    <x v="1"/>
    <s v="Tables"/>
    <s v="Tables Product 10"/>
    <n v="1286.27"/>
    <n v="9"/>
    <n v="0.15"/>
    <n v="-121.66"/>
  </r>
  <r>
    <n v="20"/>
    <s v="ORD-1020"/>
    <x v="19"/>
    <d v="2025-05-05T00:00:00"/>
    <s v="First Class"/>
    <s v="CUST-143"/>
    <s v="Angela Mayer"/>
    <x v="0"/>
    <s v="USA"/>
    <s v="PA"/>
    <n v="404202"/>
    <x v="0"/>
    <s v="PROD-1065"/>
    <x v="0"/>
    <s v="Binders"/>
    <s v="Binders Product 13"/>
    <n v="407.94"/>
    <n v="9"/>
    <n v="0.2"/>
    <n v="-27.65"/>
  </r>
  <r>
    <n v="21"/>
    <s v="ORD-1021"/>
    <x v="20"/>
    <d v="2024-06-28T00:00:00"/>
    <s v="Standard Class"/>
    <s v="CUST-186"/>
    <s v="George Fox"/>
    <x v="2"/>
    <s v="USA"/>
    <s v="PA"/>
    <n v="806759"/>
    <x v="0"/>
    <s v="PROD-1028"/>
    <x v="2"/>
    <s v="Accessories"/>
    <s v="Accessories Product 9"/>
    <n v="1440.74"/>
    <n v="4"/>
    <n v="0.15"/>
    <n v="2.4700000000000002"/>
  </r>
  <r>
    <n v="22"/>
    <s v="ORD-1022"/>
    <x v="21"/>
    <d v="2025-02-05T00:00:00"/>
    <s v="Standard Class"/>
    <s v="CUST-114"/>
    <s v="Lawrence Carr"/>
    <x v="0"/>
    <s v="USA"/>
    <s v="PA"/>
    <n v="891638"/>
    <x v="1"/>
    <s v="PROD-1013"/>
    <x v="0"/>
    <s v="Storage"/>
    <s v="Storage Product 30"/>
    <n v="1820.02"/>
    <n v="6"/>
    <n v="0"/>
    <n v="-355.36"/>
  </r>
  <r>
    <n v="23"/>
    <s v="ORD-1023"/>
    <x v="22"/>
    <d v="2024-02-10T00:00:00"/>
    <s v="Second Class"/>
    <s v="CUST-164"/>
    <s v="Misty Cooley"/>
    <x v="2"/>
    <s v="USA"/>
    <s v="PA"/>
    <n v="556568"/>
    <x v="1"/>
    <s v="PROD-1074"/>
    <x v="2"/>
    <s v="Phones"/>
    <s v="Phones Product 4"/>
    <n v="658.05"/>
    <n v="1"/>
    <n v="0.2"/>
    <n v="-102.91"/>
  </r>
  <r>
    <n v="24"/>
    <s v="ORD-1024"/>
    <x v="23"/>
    <d v="2025-04-12T00:00:00"/>
    <s v="Standard Class"/>
    <s v="CUST-150"/>
    <s v="Brittany Hernandez"/>
    <x v="0"/>
    <s v="USA"/>
    <s v="PA"/>
    <n v="134722"/>
    <x v="2"/>
    <s v="PROD-1087"/>
    <x v="2"/>
    <s v="Phones"/>
    <s v="Phones Product 14"/>
    <n v="1529.17"/>
    <n v="9"/>
    <n v="0.1"/>
    <n v="309.33999999999997"/>
  </r>
  <r>
    <n v="25"/>
    <s v="ORD-1025"/>
    <x v="24"/>
    <d v="2024-07-09T00:00:00"/>
    <s v="First Class"/>
    <s v="CUST-176"/>
    <s v="Jennifer Cooper"/>
    <x v="1"/>
    <s v="USA"/>
    <s v="PA"/>
    <n v="659091"/>
    <x v="0"/>
    <s v="PROD-1045"/>
    <x v="0"/>
    <s v="Paper"/>
    <s v="Paper Product 24"/>
    <n v="102.67"/>
    <n v="5"/>
    <n v="0.1"/>
    <n v="-10.48"/>
  </r>
  <r>
    <n v="26"/>
    <s v="ORD-1026"/>
    <x v="25"/>
    <d v="2024-11-12T00:00:00"/>
    <s v="Standard Class"/>
    <s v="CUST-190"/>
    <s v="Molly Lee"/>
    <x v="1"/>
    <s v="USA"/>
    <s v="PA"/>
    <n v="312826"/>
    <x v="2"/>
    <s v="PROD-1072"/>
    <x v="0"/>
    <s v="Storage"/>
    <s v="Storage Product 27"/>
    <n v="1963.45"/>
    <n v="10"/>
    <n v="0.2"/>
    <n v="214.94"/>
  </r>
  <r>
    <n v="27"/>
    <s v="ORD-1027"/>
    <x v="26"/>
    <d v="2024-04-07T00:00:00"/>
    <s v="Second Class"/>
    <s v="CUST-127"/>
    <s v="Jaclyn Watkins"/>
    <x v="2"/>
    <s v="USA"/>
    <s v="IL"/>
    <n v="510166"/>
    <x v="3"/>
    <s v="PROD-1000"/>
    <x v="0"/>
    <s v="Storage"/>
    <s v="Storage Product 12"/>
    <n v="1159.5"/>
    <n v="3"/>
    <n v="0.1"/>
    <n v="163.81"/>
  </r>
  <r>
    <n v="28"/>
    <s v="ORD-1028"/>
    <x v="27"/>
    <d v="2024-07-17T00:00:00"/>
    <s v="Standard Class"/>
    <s v="CUST-192"/>
    <s v="Justin Parsons"/>
    <x v="2"/>
    <s v="USA"/>
    <s v="IL"/>
    <n v="706442"/>
    <x v="0"/>
    <s v="PROD-1089"/>
    <x v="1"/>
    <s v="Tables"/>
    <s v="Tables Product 10"/>
    <n v="1138.08"/>
    <n v="5"/>
    <n v="0.3"/>
    <n v="159.04"/>
  </r>
  <r>
    <n v="29"/>
    <s v="ORD-1029"/>
    <x v="28"/>
    <d v="2024-05-24T00:00:00"/>
    <s v="Second Class"/>
    <s v="CUST-133"/>
    <s v="Carly James"/>
    <x v="1"/>
    <s v="USA"/>
    <s v="IL"/>
    <n v="263962"/>
    <x v="3"/>
    <s v="PROD-1005"/>
    <x v="2"/>
    <s v="Accessories"/>
    <s v="Accessories Product 24"/>
    <n v="1937.73"/>
    <n v="8"/>
    <n v="0.3"/>
    <n v="190.75"/>
  </r>
  <r>
    <n v="30"/>
    <s v="ORD-1030"/>
    <x v="29"/>
    <d v="2025-04-23T00:00:00"/>
    <s v="First Class"/>
    <s v="CUST-188"/>
    <s v="Connor Fuller"/>
    <x v="0"/>
    <s v="USA"/>
    <s v="PA"/>
    <n v="549261"/>
    <x v="3"/>
    <s v="PROD-1008"/>
    <x v="0"/>
    <s v="Paper"/>
    <s v="Paper Product 7"/>
    <n v="255.02"/>
    <n v="8"/>
    <n v="0.2"/>
    <n v="32.44"/>
  </r>
  <r>
    <n v="31"/>
    <s v="ORD-1031"/>
    <x v="30"/>
    <d v="2024-11-10T00:00:00"/>
    <s v="Standard Class"/>
    <s v="CUST-185"/>
    <s v="Tony Phillips"/>
    <x v="2"/>
    <s v="USA"/>
    <s v="PA"/>
    <n v="765784"/>
    <x v="1"/>
    <s v="PROD-1052"/>
    <x v="1"/>
    <s v="Tables"/>
    <s v="Tables Product 11"/>
    <n v="1114.2"/>
    <n v="5"/>
    <n v="0.05"/>
    <n v="-9.18"/>
  </r>
  <r>
    <n v="32"/>
    <s v="ORD-1032"/>
    <x v="31"/>
    <d v="2024-11-16T00:00:00"/>
    <s v="Standard Class"/>
    <s v="CUST-139"/>
    <s v="Nancy Lee"/>
    <x v="0"/>
    <s v="USA"/>
    <s v="PA"/>
    <n v="596759"/>
    <x v="2"/>
    <s v="PROD-1068"/>
    <x v="2"/>
    <s v="Copiers"/>
    <s v="Copiers Product 11"/>
    <n v="83.6"/>
    <n v="9"/>
    <n v="0.05"/>
    <n v="-16.5"/>
  </r>
  <r>
    <n v="33"/>
    <s v="ORD-1033"/>
    <x v="32"/>
    <d v="2025-02-16T00:00:00"/>
    <s v="Second Class"/>
    <s v="CUST-143"/>
    <s v="Robert Wheeler"/>
    <x v="0"/>
    <s v="USA"/>
    <s v="PA"/>
    <n v="595330"/>
    <x v="0"/>
    <s v="PROD-1100"/>
    <x v="1"/>
    <s v="Bookcases"/>
    <s v="Bookcases Product 27"/>
    <n v="1937.72"/>
    <n v="10"/>
    <n v="0"/>
    <n v="-154.71"/>
  </r>
  <r>
    <n v="34"/>
    <s v="ORD-1034"/>
    <x v="33"/>
    <d v="2025-05-14T00:00:00"/>
    <s v="First Class"/>
    <s v="CUST-113"/>
    <s v="Matthew Atkins"/>
    <x v="2"/>
    <s v="USA"/>
    <s v="NY"/>
    <n v="862448"/>
    <x v="2"/>
    <s v="PROD-1000"/>
    <x v="2"/>
    <s v="Copiers"/>
    <s v="Copiers Product 19"/>
    <n v="1642.84"/>
    <n v="10"/>
    <n v="0"/>
    <n v="468.21"/>
  </r>
  <r>
    <n v="35"/>
    <s v="ORD-1035"/>
    <x v="34"/>
    <d v="2024-04-25T00:00:00"/>
    <s v="First Class"/>
    <s v="CUST-153"/>
    <s v="Bonnie Espinoza"/>
    <x v="2"/>
    <s v="USA"/>
    <s v="NY"/>
    <n v="165703"/>
    <x v="3"/>
    <s v="PROD-1069"/>
    <x v="1"/>
    <s v="Tables"/>
    <s v="Tables Product 29"/>
    <n v="1911.18"/>
    <n v="5"/>
    <n v="0.1"/>
    <n v="-67.09"/>
  </r>
  <r>
    <n v="36"/>
    <s v="ORD-1036"/>
    <x v="35"/>
    <d v="2024-03-12T00:00:00"/>
    <s v="Standard Class"/>
    <s v="CUST-149"/>
    <s v="Theodore Walsh"/>
    <x v="2"/>
    <s v="USA"/>
    <s v="NY"/>
    <n v="505167"/>
    <x v="1"/>
    <s v="PROD-1087"/>
    <x v="2"/>
    <s v="Copiers"/>
    <s v="Copiers Product 19"/>
    <n v="1766.19"/>
    <n v="4"/>
    <n v="0.05"/>
    <n v="-16.89"/>
  </r>
  <r>
    <n v="37"/>
    <s v="ORD-1037"/>
    <x v="36"/>
    <d v="2024-08-07T00:00:00"/>
    <s v="First Class"/>
    <s v="CUST-154"/>
    <s v="Timothy Mclaughlin"/>
    <x v="1"/>
    <s v="USA"/>
    <s v="NY"/>
    <n v="101275"/>
    <x v="0"/>
    <s v="PROD-1018"/>
    <x v="1"/>
    <s v="Chairs"/>
    <s v="Chairs Product 14"/>
    <n v="1140.99"/>
    <n v="6"/>
    <n v="0.3"/>
    <n v="28.28"/>
  </r>
  <r>
    <n v="38"/>
    <s v="ORD-1038"/>
    <x v="37"/>
    <d v="2024-09-11T00:00:00"/>
    <s v="Standard Class"/>
    <s v="CUST-168"/>
    <s v="Katelyn Tate"/>
    <x v="2"/>
    <s v="USA"/>
    <s v="NY"/>
    <n v="908504"/>
    <x v="1"/>
    <s v="PROD-1092"/>
    <x v="0"/>
    <s v="Binders"/>
    <s v="Binders Product 13"/>
    <n v="877.27"/>
    <n v="2"/>
    <n v="0.3"/>
    <n v="228.41"/>
  </r>
  <r>
    <n v="39"/>
    <s v="ORD-1039"/>
    <x v="38"/>
    <d v="2024-06-25T00:00:00"/>
    <s v="First Class"/>
    <s v="CUST-169"/>
    <s v="Lawrence Duncan"/>
    <x v="2"/>
    <s v="USA"/>
    <s v="TX"/>
    <n v="500071"/>
    <x v="1"/>
    <s v="PROD-1097"/>
    <x v="2"/>
    <s v="Phones"/>
    <s v="Phones Product 9"/>
    <n v="1122.3599999999999"/>
    <n v="5"/>
    <n v="0.2"/>
    <n v="-216.59"/>
  </r>
  <r>
    <n v="40"/>
    <s v="ORD-1040"/>
    <x v="39"/>
    <d v="2025-05-09T00:00:00"/>
    <s v="Second Class"/>
    <s v="CUST-164"/>
    <s v="Tricia Sanchez"/>
    <x v="0"/>
    <s v="USA"/>
    <s v="TX"/>
    <n v="632973"/>
    <x v="1"/>
    <s v="PROD-1037"/>
    <x v="1"/>
    <s v="Chairs"/>
    <s v="Chairs Product 20"/>
    <n v="1443.87"/>
    <n v="7"/>
    <n v="0.1"/>
    <n v="266.07"/>
  </r>
  <r>
    <n v="41"/>
    <s v="ORD-1041"/>
    <x v="40"/>
    <d v="2024-11-18T00:00:00"/>
    <s v="First Class"/>
    <s v="CUST-155"/>
    <s v="Tracy Larson"/>
    <x v="1"/>
    <s v="USA"/>
    <s v="TX"/>
    <n v="349181"/>
    <x v="2"/>
    <s v="PROD-1100"/>
    <x v="0"/>
    <s v="Paper"/>
    <s v="Paper Product 7"/>
    <n v="314.27"/>
    <n v="1"/>
    <n v="0.2"/>
    <n v="40.39"/>
  </r>
  <r>
    <n v="42"/>
    <s v="ORD-1042"/>
    <x v="0"/>
    <d v="2025-05-06T00:00:00"/>
    <s v="Standard Class"/>
    <s v="CUST-178"/>
    <s v="Scott Wiley"/>
    <x v="1"/>
    <s v="USA"/>
    <s v="TX"/>
    <n v="562043"/>
    <x v="1"/>
    <s v="PROD-1059"/>
    <x v="0"/>
    <s v="Binders"/>
    <s v="Binders Product 27"/>
    <n v="1227.26"/>
    <n v="7"/>
    <n v="0.15"/>
    <n v="290.95999999999998"/>
  </r>
  <r>
    <n v="43"/>
    <s v="ORD-1043"/>
    <x v="15"/>
    <d v="2024-10-17T00:00:00"/>
    <s v="Second Class"/>
    <s v="CUST-125"/>
    <s v="Kelly Reese"/>
    <x v="2"/>
    <s v="USA"/>
    <s v="TX"/>
    <n v="608911"/>
    <x v="3"/>
    <s v="PROD-1076"/>
    <x v="2"/>
    <s v="Phones"/>
    <s v="Phones Product 27"/>
    <n v="45.16"/>
    <n v="2"/>
    <n v="0"/>
    <n v="13.13"/>
  </r>
  <r>
    <n v="44"/>
    <s v="ORD-1044"/>
    <x v="41"/>
    <d v="2024-06-12T00:00:00"/>
    <s v="Second Class"/>
    <s v="CUST-121"/>
    <s v="Jack Robles"/>
    <x v="0"/>
    <s v="USA"/>
    <s v="TX"/>
    <n v="103350"/>
    <x v="1"/>
    <s v="PROD-1014"/>
    <x v="2"/>
    <s v="Copiers"/>
    <s v="Copiers Product 22"/>
    <n v="442.4"/>
    <n v="6"/>
    <n v="0.05"/>
    <n v="79.39"/>
  </r>
  <r>
    <n v="45"/>
    <s v="ORD-1045"/>
    <x v="42"/>
    <d v="2024-06-04T00:00:00"/>
    <s v="Second Class"/>
    <s v="CUST-140"/>
    <s v="Miranda Wood"/>
    <x v="1"/>
    <s v="USA"/>
    <s v="TX"/>
    <n v="938251"/>
    <x v="3"/>
    <s v="PROD-1065"/>
    <x v="0"/>
    <s v="Paper"/>
    <s v="Paper Product 14"/>
    <n v="1909.7"/>
    <n v="2"/>
    <n v="0.05"/>
    <n v="412.21"/>
  </r>
  <r>
    <n v="46"/>
    <s v="ORD-1046"/>
    <x v="43"/>
    <d v="2025-03-07T00:00:00"/>
    <s v="Second Class"/>
    <s v="CUST-120"/>
    <s v="John Stevenson"/>
    <x v="0"/>
    <s v="USA"/>
    <s v="CA"/>
    <n v="281338"/>
    <x v="1"/>
    <s v="PROD-1076"/>
    <x v="0"/>
    <s v="Paper"/>
    <s v="Paper Product 24"/>
    <n v="135.08000000000001"/>
    <n v="9"/>
    <n v="0.05"/>
    <n v="35.68"/>
  </r>
  <r>
    <n v="47"/>
    <s v="ORD-1047"/>
    <x v="44"/>
    <d v="2024-07-31T00:00:00"/>
    <s v="Standard Class"/>
    <s v="CUST-144"/>
    <s v="Jimmy Franklin"/>
    <x v="2"/>
    <s v="USA"/>
    <s v="CA"/>
    <n v="916847"/>
    <x v="3"/>
    <s v="PROD-1018"/>
    <x v="1"/>
    <s v="Bookcases"/>
    <s v="Bookcases Product 30"/>
    <n v="274.81"/>
    <n v="9"/>
    <n v="0.2"/>
    <n v="-36.83"/>
  </r>
  <r>
    <n v="48"/>
    <s v="ORD-1048"/>
    <x v="45"/>
    <d v="2024-06-09T00:00:00"/>
    <s v="First Class"/>
    <s v="CUST-182"/>
    <s v="Stephanie Everett"/>
    <x v="0"/>
    <s v="USA"/>
    <s v="CA"/>
    <n v="538084"/>
    <x v="2"/>
    <s v="PROD-1100"/>
    <x v="2"/>
    <s v="Phones"/>
    <s v="Phones Product 17"/>
    <n v="1164.52"/>
    <n v="10"/>
    <n v="0.05"/>
    <n v="-28.41"/>
  </r>
  <r>
    <n v="49"/>
    <s v="ORD-1049"/>
    <x v="46"/>
    <d v="2024-02-25T00:00:00"/>
    <s v="Standard Class"/>
    <s v="CUST-132"/>
    <s v="Carl Hogan"/>
    <x v="1"/>
    <s v="USA"/>
    <s v="CA"/>
    <n v="767200"/>
    <x v="2"/>
    <s v="PROD-1061"/>
    <x v="1"/>
    <s v="Tables"/>
    <s v="Tables Product 19"/>
    <n v="1021.63"/>
    <n v="3"/>
    <n v="0.1"/>
    <n v="82.28"/>
  </r>
  <r>
    <n v="50"/>
    <s v="ORD-1050"/>
    <x v="47"/>
    <d v="2024-04-30T00:00:00"/>
    <s v="Standard Class"/>
    <s v="CUST-165"/>
    <s v="Timothy Jones"/>
    <x v="2"/>
    <s v="USA"/>
    <s v="CA"/>
    <n v="470199"/>
    <x v="3"/>
    <s v="PROD-1019"/>
    <x v="0"/>
    <s v="Binders"/>
    <s v="Binders Product 30"/>
    <n v="1120.48"/>
    <n v="5"/>
    <n v="0.2"/>
    <n v="346.25"/>
  </r>
  <r>
    <n v="51"/>
    <s v="ORD-1051"/>
    <x v="48"/>
    <d v="2024-11-04T00:00:00"/>
    <s v="Standard Class"/>
    <s v="CUST-143"/>
    <s v="Shawn Harrison"/>
    <x v="0"/>
    <s v="USA"/>
    <s v="CA"/>
    <n v="542978"/>
    <x v="2"/>
    <s v="PROD-1049"/>
    <x v="1"/>
    <s v="Tables"/>
    <s v="Tables Product 8"/>
    <n v="608.16"/>
    <n v="3"/>
    <n v="0"/>
    <n v="-21.13"/>
  </r>
  <r>
    <n v="52"/>
    <s v="ORD-1052"/>
    <x v="49"/>
    <d v="2024-05-13T00:00:00"/>
    <s v="Second Class"/>
    <s v="CUST-115"/>
    <s v="Kevin Bishop"/>
    <x v="2"/>
    <s v="USA"/>
    <s v="CA"/>
    <n v="770180"/>
    <x v="2"/>
    <s v="PROD-1073"/>
    <x v="2"/>
    <s v="Copiers"/>
    <s v="Copiers Product 20"/>
    <n v="145.08000000000001"/>
    <n v="5"/>
    <n v="0.2"/>
    <n v="8.6"/>
  </r>
  <r>
    <n v="53"/>
    <s v="ORD-1053"/>
    <x v="50"/>
    <d v="2024-11-28T00:00:00"/>
    <s v="Second Class"/>
    <s v="CUST-194"/>
    <s v="Mr. Michael Ward"/>
    <x v="0"/>
    <s v="USA"/>
    <s v="CA"/>
    <n v="462161"/>
    <x v="3"/>
    <s v="PROD-1080"/>
    <x v="0"/>
    <s v="Storage"/>
    <s v="Storage Product 14"/>
    <n v="45.43"/>
    <n v="2"/>
    <n v="0.3"/>
    <n v="8.11"/>
  </r>
  <r>
    <n v="54"/>
    <s v="ORD-1054"/>
    <x v="51"/>
    <d v="2025-02-08T00:00:00"/>
    <s v="Second Class"/>
    <s v="CUST-125"/>
    <s v="Joy Rodriguez"/>
    <x v="1"/>
    <s v="USA"/>
    <s v="CA"/>
    <n v="212496"/>
    <x v="2"/>
    <s v="PROD-1084"/>
    <x v="2"/>
    <s v="Accessories"/>
    <s v="Accessories Product 25"/>
    <n v="1722.91"/>
    <n v="9"/>
    <n v="0.05"/>
    <n v="205.76"/>
  </r>
  <r>
    <n v="55"/>
    <s v="ORD-1055"/>
    <x v="52"/>
    <d v="2024-01-09T00:00:00"/>
    <s v="Standard Class"/>
    <s v="CUST-124"/>
    <s v="Nathan Coleman"/>
    <x v="0"/>
    <s v="USA"/>
    <s v="CA"/>
    <n v="123820"/>
    <x v="3"/>
    <s v="PROD-1030"/>
    <x v="1"/>
    <s v="Tables"/>
    <s v="Tables Product 4"/>
    <n v="161.24"/>
    <n v="1"/>
    <n v="0.15"/>
    <n v="-3.95"/>
  </r>
  <r>
    <n v="56"/>
    <s v="ORD-1056"/>
    <x v="53"/>
    <d v="2024-01-19T00:00:00"/>
    <s v="First Class"/>
    <s v="CUST-161"/>
    <s v="Ryan Lloyd"/>
    <x v="2"/>
    <s v="USA"/>
    <s v="CA"/>
    <n v="920258"/>
    <x v="1"/>
    <s v="PROD-1092"/>
    <x v="1"/>
    <s v="Chairs"/>
    <s v="Chairs Product 9"/>
    <n v="1663.64"/>
    <n v="7"/>
    <n v="0.15"/>
    <n v="373.96"/>
  </r>
  <r>
    <n v="57"/>
    <s v="ORD-1057"/>
    <x v="54"/>
    <d v="2024-12-26T00:00:00"/>
    <s v="Second Class"/>
    <s v="CUST-187"/>
    <s v="Dr. Robin Miller DDS"/>
    <x v="0"/>
    <s v="USA"/>
    <s v="CA"/>
    <n v="890900"/>
    <x v="3"/>
    <s v="PROD-1056"/>
    <x v="0"/>
    <s v="Storage"/>
    <s v="Storage Product 23"/>
    <n v="311.99"/>
    <n v="10"/>
    <n v="0.2"/>
    <n v="7.01"/>
  </r>
  <r>
    <n v="58"/>
    <s v="ORD-1058"/>
    <x v="55"/>
    <d v="2024-02-08T00:00:00"/>
    <s v="Second Class"/>
    <s v="CUST-195"/>
    <s v="Cory Myers Jr."/>
    <x v="1"/>
    <s v="USA"/>
    <s v="NY"/>
    <n v="996483"/>
    <x v="0"/>
    <s v="PROD-1027"/>
    <x v="2"/>
    <s v="Phones"/>
    <s v="Phones Product 4"/>
    <n v="352.91"/>
    <n v="9"/>
    <n v="0.3"/>
    <n v="83.78"/>
  </r>
  <r>
    <n v="59"/>
    <s v="ORD-1059"/>
    <x v="56"/>
    <d v="2024-01-04T00:00:00"/>
    <s v="Standard Class"/>
    <s v="CUST-124"/>
    <s v="Darrell Heath"/>
    <x v="2"/>
    <s v="USA"/>
    <s v="NY"/>
    <n v="569815"/>
    <x v="3"/>
    <s v="PROD-1067"/>
    <x v="1"/>
    <s v="Chairs"/>
    <s v="Chairs Product 16"/>
    <n v="1818.21"/>
    <n v="3"/>
    <n v="0.1"/>
    <n v="447.33"/>
  </r>
  <r>
    <n v="60"/>
    <s v="ORD-1060"/>
    <x v="57"/>
    <d v="2024-03-08T00:00:00"/>
    <s v="First Class"/>
    <s v="CUST-197"/>
    <s v="Julie Martin"/>
    <x v="0"/>
    <s v="USA"/>
    <s v="NY"/>
    <n v="471979"/>
    <x v="2"/>
    <s v="PROD-1032"/>
    <x v="0"/>
    <s v="Storage"/>
    <s v="Storage Product 7"/>
    <n v="1504.68"/>
    <n v="7"/>
    <n v="0.1"/>
    <n v="-166.76"/>
  </r>
  <r>
    <n v="61"/>
    <s v="ORD-1061"/>
    <x v="58"/>
    <d v="2024-06-18T00:00:00"/>
    <s v="Second Class"/>
    <s v="CUST-181"/>
    <s v="Nathan Potter PhD"/>
    <x v="1"/>
    <s v="USA"/>
    <s v="NY"/>
    <n v="727982"/>
    <x v="1"/>
    <s v="PROD-1021"/>
    <x v="0"/>
    <s v="Paper"/>
    <s v="Paper Product 21"/>
    <n v="579.23"/>
    <n v="2"/>
    <n v="0.3"/>
    <n v="19.16"/>
  </r>
  <r>
    <n v="62"/>
    <s v="ORD-1062"/>
    <x v="59"/>
    <d v="2024-03-24T00:00:00"/>
    <s v="First Class"/>
    <s v="CUST-192"/>
    <s v="Caroline Casey"/>
    <x v="0"/>
    <s v="USA"/>
    <s v="NY"/>
    <n v="669497"/>
    <x v="3"/>
    <s v="PROD-1053"/>
    <x v="0"/>
    <s v="Paper"/>
    <s v="Paper Product 20"/>
    <n v="1591.73"/>
    <n v="5"/>
    <n v="0.05"/>
    <n v="-50.32"/>
  </r>
  <r>
    <n v="63"/>
    <s v="ORD-1063"/>
    <x v="60"/>
    <d v="2024-05-23T00:00:00"/>
    <s v="Second Class"/>
    <s v="CUST-151"/>
    <s v="Charles Brown"/>
    <x v="0"/>
    <s v="USA"/>
    <s v="NY"/>
    <n v="110982"/>
    <x v="1"/>
    <s v="PROD-1005"/>
    <x v="1"/>
    <s v="Chairs"/>
    <s v="Chairs Product 23"/>
    <n v="347.38"/>
    <n v="9"/>
    <n v="0.2"/>
    <n v="13.21"/>
  </r>
  <r>
    <n v="64"/>
    <s v="ORD-1064"/>
    <x v="61"/>
    <d v="2024-10-24T00:00:00"/>
    <s v="First Class"/>
    <s v="CUST-114"/>
    <s v="Kathy Campbell"/>
    <x v="2"/>
    <s v="USA"/>
    <s v="FL"/>
    <n v="822258"/>
    <x v="1"/>
    <s v="PROD-1050"/>
    <x v="2"/>
    <s v="Phones"/>
    <s v="Phones Product 8"/>
    <n v="467.34"/>
    <n v="10"/>
    <n v="0.05"/>
    <n v="118.38"/>
  </r>
  <r>
    <n v="65"/>
    <s v="ORD-1065"/>
    <x v="62"/>
    <d v="2024-10-02T00:00:00"/>
    <s v="Standard Class"/>
    <s v="CUST-198"/>
    <s v="Robert Bryant"/>
    <x v="2"/>
    <s v="USA"/>
    <s v="FL"/>
    <n v="336343"/>
    <x v="2"/>
    <s v="PROD-1061"/>
    <x v="0"/>
    <s v="Paper"/>
    <s v="Paper Product 20"/>
    <n v="280.99"/>
    <n v="3"/>
    <n v="0.05"/>
    <n v="-34.94"/>
  </r>
  <r>
    <n v="66"/>
    <s v="ORD-1066"/>
    <x v="63"/>
    <d v="2025-06-01T00:00:00"/>
    <s v="First Class"/>
    <s v="CUST-174"/>
    <s v="Kristin Campbell"/>
    <x v="0"/>
    <s v="USA"/>
    <s v="FL"/>
    <n v="498950"/>
    <x v="1"/>
    <s v="PROD-1017"/>
    <x v="0"/>
    <s v="Storage"/>
    <s v="Storage Product 4"/>
    <n v="1774"/>
    <n v="2"/>
    <n v="0.15"/>
    <n v="37.64"/>
  </r>
  <r>
    <n v="67"/>
    <s v="ORD-1067"/>
    <x v="64"/>
    <d v="2024-06-05T00:00:00"/>
    <s v="Standard Class"/>
    <s v="CUST-143"/>
    <s v="Randall Woods"/>
    <x v="1"/>
    <s v="USA"/>
    <s v="FL"/>
    <n v="193795"/>
    <x v="0"/>
    <s v="PROD-1033"/>
    <x v="1"/>
    <s v="Tables"/>
    <s v="Tables Product 16"/>
    <n v="1322.52"/>
    <n v="2"/>
    <n v="0.2"/>
    <n v="238.64"/>
  </r>
  <r>
    <n v="68"/>
    <s v="ORD-1068"/>
    <x v="65"/>
    <d v="2024-03-31T00:00:00"/>
    <s v="Second Class"/>
    <s v="CUST-152"/>
    <s v="Antonio Walker"/>
    <x v="2"/>
    <s v="USA"/>
    <s v="FL"/>
    <n v="542721"/>
    <x v="1"/>
    <s v="PROD-1094"/>
    <x v="1"/>
    <s v="Bookcases"/>
    <s v="Bookcases Product 25"/>
    <n v="1331.06"/>
    <n v="6"/>
    <n v="0.05"/>
    <n v="186.93"/>
  </r>
  <r>
    <n v="69"/>
    <s v="ORD-1069"/>
    <x v="66"/>
    <d v="2024-02-05T00:00:00"/>
    <s v="First Class"/>
    <s v="CUST-162"/>
    <s v="Michelle Mccoy"/>
    <x v="0"/>
    <s v="USA"/>
    <s v="FL"/>
    <n v="139932"/>
    <x v="0"/>
    <s v="PROD-1091"/>
    <x v="0"/>
    <s v="Binders"/>
    <s v="Binders Product 7"/>
    <n v="269.89999999999998"/>
    <n v="7"/>
    <n v="0.05"/>
    <n v="-12.33"/>
  </r>
  <r>
    <n v="70"/>
    <s v="ORD-1070"/>
    <x v="67"/>
    <d v="2024-11-08T00:00:00"/>
    <s v="Second Class"/>
    <s v="CUST-154"/>
    <s v="Ryan Mccall"/>
    <x v="2"/>
    <s v="USA"/>
    <s v="FL"/>
    <n v="866466"/>
    <x v="0"/>
    <s v="PROD-1092"/>
    <x v="0"/>
    <s v="Paper"/>
    <s v="Paper Product 27"/>
    <n v="93.17"/>
    <n v="6"/>
    <n v="0.2"/>
    <n v="-7.17"/>
  </r>
  <r>
    <n v="71"/>
    <s v="ORD-1071"/>
    <x v="68"/>
    <d v="2025-03-21T00:00:00"/>
    <s v="Second Class"/>
    <s v="CUST-156"/>
    <s v="Robert Walker MD"/>
    <x v="2"/>
    <s v="USA"/>
    <s v="NY"/>
    <n v="614818"/>
    <x v="2"/>
    <s v="PROD-1068"/>
    <x v="1"/>
    <s v="Bookcases"/>
    <s v="Bookcases Product 29"/>
    <n v="1831.85"/>
    <n v="4"/>
    <n v="0"/>
    <n v="-204.08"/>
  </r>
  <r>
    <n v="72"/>
    <s v="ORD-1072"/>
    <x v="69"/>
    <d v="2025-04-07T00:00:00"/>
    <s v="Second Class"/>
    <s v="CUST-152"/>
    <s v="Jeffrey Dunn"/>
    <x v="1"/>
    <s v="USA"/>
    <s v="NY"/>
    <n v="280132"/>
    <x v="0"/>
    <s v="PROD-1042"/>
    <x v="0"/>
    <s v="Paper"/>
    <s v="Paper Product 21"/>
    <n v="885.74"/>
    <n v="3"/>
    <n v="0"/>
    <n v="301.12"/>
  </r>
  <r>
    <n v="73"/>
    <s v="ORD-1073"/>
    <x v="70"/>
    <d v="2024-02-26T00:00:00"/>
    <s v="Second Class"/>
    <s v="CUST-100"/>
    <s v="John Logan"/>
    <x v="0"/>
    <s v="USA"/>
    <s v="PA"/>
    <n v="518433"/>
    <x v="0"/>
    <s v="PROD-1098"/>
    <x v="0"/>
    <s v="Storage"/>
    <s v="Storage Product 25"/>
    <n v="264.29000000000002"/>
    <n v="9"/>
    <n v="0.05"/>
    <n v="-32.43"/>
  </r>
  <r>
    <n v="74"/>
    <s v="ORD-1074"/>
    <x v="71"/>
    <d v="2025-04-06T00:00:00"/>
    <s v="Standard Class"/>
    <s v="CUST-159"/>
    <s v="Amber Campbell"/>
    <x v="0"/>
    <s v="USA"/>
    <s v="PA"/>
    <n v="959345"/>
    <x v="1"/>
    <s v="PROD-1045"/>
    <x v="2"/>
    <s v="Phones"/>
    <s v="Phones Product 20"/>
    <n v="885.43"/>
    <n v="2"/>
    <n v="0.05"/>
    <n v="96.53"/>
  </r>
  <r>
    <n v="75"/>
    <s v="ORD-1075"/>
    <x v="72"/>
    <d v="2024-06-10T00:00:00"/>
    <s v="First Class"/>
    <s v="CUST-115"/>
    <s v="Joshua Weaver"/>
    <x v="0"/>
    <s v="USA"/>
    <s v="PA"/>
    <n v="475005"/>
    <x v="0"/>
    <s v="PROD-1027"/>
    <x v="0"/>
    <s v="Paper"/>
    <s v="Paper Product 14"/>
    <n v="1619.46"/>
    <n v="1"/>
    <n v="0.05"/>
    <n v="171.6"/>
  </r>
  <r>
    <n v="76"/>
    <s v="ORD-1076"/>
    <x v="73"/>
    <d v="2024-12-09T00:00:00"/>
    <s v="Second Class"/>
    <s v="CUST-185"/>
    <s v="Kathy Torres"/>
    <x v="0"/>
    <s v="USA"/>
    <s v="PA"/>
    <n v="394973"/>
    <x v="2"/>
    <s v="PROD-1025"/>
    <x v="2"/>
    <s v="Accessories"/>
    <s v="Accessories Product 20"/>
    <n v="221.17"/>
    <n v="4"/>
    <n v="0.15"/>
    <n v="72.58"/>
  </r>
  <r>
    <n v="77"/>
    <s v="ORD-1077"/>
    <x v="74"/>
    <d v="2024-11-01T00:00:00"/>
    <s v="First Class"/>
    <s v="CUST-130"/>
    <s v="Angela Nelson"/>
    <x v="1"/>
    <s v="USA"/>
    <s v="PA"/>
    <n v="337288"/>
    <x v="2"/>
    <s v="PROD-1043"/>
    <x v="2"/>
    <s v="Copiers"/>
    <s v="Copiers Product 23"/>
    <n v="1436.93"/>
    <n v="9"/>
    <n v="0.05"/>
    <n v="289.14"/>
  </r>
  <r>
    <n v="78"/>
    <s v="ORD-1078"/>
    <x v="75"/>
    <d v="2024-01-22T00:00:00"/>
    <s v="First Class"/>
    <s v="CUST-164"/>
    <s v="Jennifer Martin"/>
    <x v="2"/>
    <s v="USA"/>
    <s v="PA"/>
    <n v="476178"/>
    <x v="1"/>
    <s v="PROD-1073"/>
    <x v="1"/>
    <s v="Tables"/>
    <s v="Tables Product 10"/>
    <n v="108.62"/>
    <n v="5"/>
    <n v="0.1"/>
    <n v="-17.18"/>
  </r>
  <r>
    <n v="79"/>
    <s v="ORD-1079"/>
    <x v="76"/>
    <d v="2024-09-07T00:00:00"/>
    <s v="Second Class"/>
    <s v="CUST-125"/>
    <s v="Mary Flowers"/>
    <x v="0"/>
    <s v="USA"/>
    <s v="PA"/>
    <n v="217962"/>
    <x v="2"/>
    <s v="PROD-1060"/>
    <x v="1"/>
    <s v="Chairs"/>
    <s v="Chairs Product 6"/>
    <n v="961.36"/>
    <n v="2"/>
    <n v="0.05"/>
    <n v="-13.04"/>
  </r>
  <r>
    <n v="80"/>
    <s v="ORD-1080"/>
    <x v="77"/>
    <d v="2024-08-15T00:00:00"/>
    <s v="Standard Class"/>
    <s v="CUST-158"/>
    <s v="Marisa Dawson"/>
    <x v="1"/>
    <s v="USA"/>
    <s v="PA"/>
    <n v="685371"/>
    <x v="0"/>
    <s v="PROD-1016"/>
    <x v="0"/>
    <s v="Storage"/>
    <s v="Storage Product 15"/>
    <n v="1894.36"/>
    <n v="8"/>
    <n v="0.1"/>
    <n v="406.87"/>
  </r>
  <r>
    <n v="81"/>
    <s v="ORD-1081"/>
    <x v="78"/>
    <d v="2025-03-22T00:00:00"/>
    <s v="Second Class"/>
    <s v="CUST-125"/>
    <s v="Stephanie Johnson"/>
    <x v="1"/>
    <s v="USA"/>
    <s v="PA"/>
    <n v="236002"/>
    <x v="0"/>
    <s v="PROD-1046"/>
    <x v="1"/>
    <s v="Tables"/>
    <s v="Tables Product 22"/>
    <n v="1654"/>
    <n v="2"/>
    <n v="0"/>
    <n v="-185.49"/>
  </r>
  <r>
    <n v="82"/>
    <s v="ORD-1082"/>
    <x v="79"/>
    <d v="2024-07-16T00:00:00"/>
    <s v="Second Class"/>
    <s v="CUST-155"/>
    <s v="Dawn Cox"/>
    <x v="1"/>
    <s v="USA"/>
    <s v="PA"/>
    <n v="360101"/>
    <x v="3"/>
    <s v="PROD-1059"/>
    <x v="1"/>
    <s v="Chairs"/>
    <s v="Chairs Product 25"/>
    <n v="460.02"/>
    <n v="5"/>
    <n v="0.2"/>
    <n v="135.91999999999999"/>
  </r>
  <r>
    <n v="83"/>
    <s v="ORD-1083"/>
    <x v="80"/>
    <d v="2025-02-03T00:00:00"/>
    <s v="First Class"/>
    <s v="CUST-188"/>
    <s v="Margaret Torres"/>
    <x v="0"/>
    <s v="USA"/>
    <s v="FL"/>
    <n v="231929"/>
    <x v="2"/>
    <s v="PROD-1068"/>
    <x v="1"/>
    <s v="Bookcases"/>
    <s v="Bookcases Product 10"/>
    <n v="1917.58"/>
    <n v="8"/>
    <n v="0.3"/>
    <n v="-291.44"/>
  </r>
  <r>
    <n v="84"/>
    <s v="ORD-1084"/>
    <x v="81"/>
    <d v="2025-05-30T00:00:00"/>
    <s v="Standard Class"/>
    <s v="CUST-190"/>
    <s v="Richard Hodge"/>
    <x v="2"/>
    <s v="USA"/>
    <s v="FL"/>
    <n v="606589"/>
    <x v="0"/>
    <s v="PROD-1015"/>
    <x v="0"/>
    <s v="Storage"/>
    <s v="Storage Product 19"/>
    <n v="99.66"/>
    <n v="3"/>
    <n v="0.3"/>
    <n v="9.48"/>
  </r>
  <r>
    <n v="85"/>
    <s v="ORD-1085"/>
    <x v="82"/>
    <d v="2024-03-16T00:00:00"/>
    <s v="Second Class"/>
    <s v="CUST-131"/>
    <s v="Patricia Brooks"/>
    <x v="2"/>
    <s v="USA"/>
    <s v="FL"/>
    <n v="615410"/>
    <x v="1"/>
    <s v="PROD-1014"/>
    <x v="1"/>
    <s v="Tables"/>
    <s v="Tables Product 21"/>
    <n v="1951.08"/>
    <n v="7"/>
    <n v="0.05"/>
    <n v="-143.38999999999999"/>
  </r>
  <r>
    <n v="86"/>
    <s v="ORD-1086"/>
    <x v="18"/>
    <d v="2024-05-21T00:00:00"/>
    <s v="First Class"/>
    <s v="CUST-126"/>
    <s v="Patricia Reed"/>
    <x v="0"/>
    <s v="USA"/>
    <s v="FL"/>
    <n v="233735"/>
    <x v="1"/>
    <s v="PROD-1046"/>
    <x v="2"/>
    <s v="Phones"/>
    <s v="Phones Product 23"/>
    <n v="1604.08"/>
    <n v="4"/>
    <n v="0.2"/>
    <n v="466.08"/>
  </r>
  <r>
    <n v="87"/>
    <s v="ORD-1087"/>
    <x v="83"/>
    <d v="2024-04-10T00:00:00"/>
    <s v="First Class"/>
    <s v="CUST-103"/>
    <s v="Anthony Carter"/>
    <x v="0"/>
    <s v="USA"/>
    <s v="FL"/>
    <n v="298034"/>
    <x v="3"/>
    <s v="PROD-1007"/>
    <x v="1"/>
    <s v="Tables"/>
    <s v="Tables Product 27"/>
    <n v="1065.9100000000001"/>
    <n v="6"/>
    <n v="0.05"/>
    <n v="-125.09"/>
  </r>
  <r>
    <n v="88"/>
    <s v="ORD-1088"/>
    <x v="84"/>
    <d v="2024-06-17T00:00:00"/>
    <s v="First Class"/>
    <s v="CUST-176"/>
    <s v="Mary Gomez"/>
    <x v="0"/>
    <s v="USA"/>
    <s v="FL"/>
    <n v="710793"/>
    <x v="1"/>
    <s v="PROD-1009"/>
    <x v="0"/>
    <s v="Storage"/>
    <s v="Storage Product 20"/>
    <n v="641.37"/>
    <n v="4"/>
    <n v="0"/>
    <n v="101.49"/>
  </r>
  <r>
    <n v="89"/>
    <s v="ORD-1089"/>
    <x v="55"/>
    <d v="2024-02-11T00:00:00"/>
    <s v="Second Class"/>
    <s v="CUST-164"/>
    <s v="Daisy Dennis"/>
    <x v="0"/>
    <s v="USA"/>
    <s v="FL"/>
    <n v="652063"/>
    <x v="2"/>
    <s v="PROD-1024"/>
    <x v="0"/>
    <s v="Paper"/>
    <s v="Paper Product 20"/>
    <n v="415.56"/>
    <n v="6"/>
    <n v="0"/>
    <n v="92.33"/>
  </r>
  <r>
    <n v="90"/>
    <s v="ORD-1090"/>
    <x v="85"/>
    <d v="2024-01-28T00:00:00"/>
    <s v="First Class"/>
    <s v="CUST-194"/>
    <s v="Timothy Stone"/>
    <x v="0"/>
    <s v="USA"/>
    <s v="FL"/>
    <n v="690644"/>
    <x v="1"/>
    <s v="PROD-1036"/>
    <x v="1"/>
    <s v="Chairs"/>
    <s v="Chairs Product 24"/>
    <n v="606.63"/>
    <n v="9"/>
    <n v="0.3"/>
    <n v="163.9"/>
  </r>
  <r>
    <n v="91"/>
    <s v="ORD-1091"/>
    <x v="86"/>
    <d v="2024-08-03T00:00:00"/>
    <s v="Standard Class"/>
    <s v="CUST-101"/>
    <s v="John Harris"/>
    <x v="1"/>
    <s v="USA"/>
    <s v="FL"/>
    <n v="241069"/>
    <x v="2"/>
    <s v="PROD-1064"/>
    <x v="2"/>
    <s v="Phones"/>
    <s v="Phones Product 3"/>
    <n v="64.81"/>
    <n v="7"/>
    <n v="0.1"/>
    <n v="22.46"/>
  </r>
  <r>
    <n v="92"/>
    <s v="ORD-1092"/>
    <x v="87"/>
    <d v="2024-05-14T00:00:00"/>
    <s v="First Class"/>
    <s v="CUST-168"/>
    <s v="Shannon Levine"/>
    <x v="2"/>
    <s v="USA"/>
    <s v="FL"/>
    <n v="801526"/>
    <x v="2"/>
    <s v="PROD-1001"/>
    <x v="0"/>
    <s v="Binders"/>
    <s v="Binders Product 20"/>
    <n v="1616.47"/>
    <n v="1"/>
    <n v="0.2"/>
    <n v="-3.41"/>
  </r>
  <r>
    <n v="93"/>
    <s v="ORD-1093"/>
    <x v="88"/>
    <d v="2024-02-20T00:00:00"/>
    <s v="Second Class"/>
    <s v="CUST-197"/>
    <s v="Sharon Davis MD"/>
    <x v="0"/>
    <s v="USA"/>
    <s v="FL"/>
    <n v="783312"/>
    <x v="0"/>
    <s v="PROD-1034"/>
    <x v="1"/>
    <s v="Bookcases"/>
    <s v="Bookcases Product 10"/>
    <n v="933.63"/>
    <n v="3"/>
    <n v="0.2"/>
    <n v="-96.43"/>
  </r>
  <r>
    <n v="94"/>
    <s v="ORD-1094"/>
    <x v="89"/>
    <d v="2025-06-04T00:00:00"/>
    <s v="Standard Class"/>
    <s v="CUST-142"/>
    <s v="William Reynolds"/>
    <x v="2"/>
    <s v="USA"/>
    <s v="FL"/>
    <n v="824195"/>
    <x v="0"/>
    <s v="PROD-1100"/>
    <x v="1"/>
    <s v="Bookcases"/>
    <s v="Bookcases Product 21"/>
    <n v="819.38"/>
    <n v="9"/>
    <n v="0.2"/>
    <n v="192.61"/>
  </r>
  <r>
    <n v="95"/>
    <s v="ORD-1095"/>
    <x v="90"/>
    <d v="2025-04-05T00:00:00"/>
    <s v="Second Class"/>
    <s v="CUST-147"/>
    <s v="Daniel Moore"/>
    <x v="0"/>
    <s v="USA"/>
    <s v="CA"/>
    <n v="898276"/>
    <x v="2"/>
    <s v="PROD-1013"/>
    <x v="0"/>
    <s v="Storage"/>
    <s v="Storage Product 23"/>
    <n v="1119.8699999999999"/>
    <n v="2"/>
    <n v="0.1"/>
    <n v="-26.49"/>
  </r>
  <r>
    <n v="96"/>
    <s v="ORD-1096"/>
    <x v="91"/>
    <d v="2024-08-31T00:00:00"/>
    <s v="First Class"/>
    <s v="CUST-122"/>
    <s v="Christine Miller"/>
    <x v="2"/>
    <s v="USA"/>
    <s v="CA"/>
    <n v="980476"/>
    <x v="1"/>
    <s v="PROD-1021"/>
    <x v="2"/>
    <s v="Phones"/>
    <s v="Phones Product 12"/>
    <n v="47.79"/>
    <n v="5"/>
    <n v="0.2"/>
    <n v="1.77"/>
  </r>
  <r>
    <n v="97"/>
    <s v="ORD-1097"/>
    <x v="92"/>
    <d v="2025-05-26T00:00:00"/>
    <s v="First Class"/>
    <s v="CUST-191"/>
    <s v="Renee Acosta"/>
    <x v="0"/>
    <s v="USA"/>
    <s v="CA"/>
    <n v="291703"/>
    <x v="0"/>
    <s v="PROD-1064"/>
    <x v="2"/>
    <s v="Phones"/>
    <s v="Phones Product 27"/>
    <n v="71.12"/>
    <n v="1"/>
    <n v="0.15"/>
    <n v="-7.55"/>
  </r>
  <r>
    <n v="98"/>
    <s v="ORD-1098"/>
    <x v="93"/>
    <d v="2024-05-11T00:00:00"/>
    <s v="Second Class"/>
    <s v="CUST-176"/>
    <s v="Tyler Martinez"/>
    <x v="0"/>
    <s v="USA"/>
    <s v="CA"/>
    <n v="197602"/>
    <x v="3"/>
    <s v="PROD-1095"/>
    <x v="1"/>
    <s v="Tables"/>
    <s v="Tables Product 27"/>
    <n v="1710.74"/>
    <n v="9"/>
    <n v="0"/>
    <n v="227.37"/>
  </r>
  <r>
    <n v="99"/>
    <s v="ORD-1099"/>
    <x v="94"/>
    <d v="2024-12-09T00:00:00"/>
    <s v="First Class"/>
    <s v="CUST-194"/>
    <s v="Natalie Clark"/>
    <x v="2"/>
    <s v="USA"/>
    <s v="CA"/>
    <n v="876057"/>
    <x v="1"/>
    <s v="PROD-1068"/>
    <x v="1"/>
    <s v="Tables"/>
    <s v="Tables Product 6"/>
    <n v="774.26"/>
    <n v="6"/>
    <n v="0.05"/>
    <n v="143.12"/>
  </r>
  <r>
    <n v="100"/>
    <s v="ORD-1100"/>
    <x v="95"/>
    <d v="2024-07-20T00:00:00"/>
    <s v="Second Class"/>
    <s v="CUST-142"/>
    <s v="Gary Walters"/>
    <x v="0"/>
    <s v="USA"/>
    <s v="CA"/>
    <n v="129388"/>
    <x v="0"/>
    <s v="PROD-1008"/>
    <x v="2"/>
    <s v="Copiers"/>
    <s v="Copiers Product 17"/>
    <n v="1017.37"/>
    <n v="2"/>
    <n v="0.15"/>
    <n v="-127.02"/>
  </r>
  <r>
    <n v="101"/>
    <s v="ORD-1101"/>
    <x v="96"/>
    <d v="2025-04-29T00:00:00"/>
    <s v="Second Class"/>
    <s v="CUST-139"/>
    <s v="Christopher Sosa"/>
    <x v="2"/>
    <s v="USA"/>
    <s v="CA"/>
    <n v="795844"/>
    <x v="0"/>
    <s v="PROD-1080"/>
    <x v="1"/>
    <s v="Bookcases"/>
    <s v="Bookcases Product 17"/>
    <n v="1778.18"/>
    <n v="10"/>
    <n v="0.1"/>
    <n v="247.68"/>
  </r>
  <r>
    <n v="102"/>
    <s v="ORD-1102"/>
    <x v="2"/>
    <d v="2024-04-03T00:00:00"/>
    <s v="Standard Class"/>
    <s v="CUST-188"/>
    <s v="Laura Murphy"/>
    <x v="2"/>
    <s v="USA"/>
    <s v="CA"/>
    <n v="428390"/>
    <x v="1"/>
    <s v="PROD-1052"/>
    <x v="2"/>
    <s v="Accessories"/>
    <s v="Accessories Product 30"/>
    <n v="1600.66"/>
    <n v="8"/>
    <n v="0"/>
    <n v="-71.55"/>
  </r>
  <r>
    <n v="103"/>
    <s v="ORD-1103"/>
    <x v="97"/>
    <d v="2025-06-11T00:00:00"/>
    <s v="Standard Class"/>
    <s v="CUST-189"/>
    <s v="Danielle Manning"/>
    <x v="0"/>
    <s v="USA"/>
    <s v="CA"/>
    <n v="291508"/>
    <x v="0"/>
    <s v="PROD-1099"/>
    <x v="2"/>
    <s v="Accessories"/>
    <s v="Accessories Product 13"/>
    <n v="1617.18"/>
    <n v="8"/>
    <n v="0.2"/>
    <n v="-186.39"/>
  </r>
  <r>
    <n v="104"/>
    <s v="ORD-1104"/>
    <x v="98"/>
    <d v="2024-08-23T00:00:00"/>
    <s v="Standard Class"/>
    <s v="CUST-181"/>
    <s v="Sierra Rush"/>
    <x v="1"/>
    <s v="USA"/>
    <s v="CA"/>
    <n v="927143"/>
    <x v="0"/>
    <s v="PROD-1012"/>
    <x v="1"/>
    <s v="Bookcases"/>
    <s v="Bookcases Product 27"/>
    <n v="1615.79"/>
    <n v="1"/>
    <n v="0.05"/>
    <n v="-23.14"/>
  </r>
  <r>
    <n v="105"/>
    <s v="ORD-1105"/>
    <x v="99"/>
    <d v="2024-10-08T00:00:00"/>
    <s v="Second Class"/>
    <s v="CUST-112"/>
    <s v="Shari Murphy DDS"/>
    <x v="0"/>
    <s v="USA"/>
    <s v="CA"/>
    <n v="968322"/>
    <x v="0"/>
    <s v="PROD-1013"/>
    <x v="0"/>
    <s v="Storage"/>
    <s v="Storage Product 29"/>
    <n v="1122.29"/>
    <n v="7"/>
    <n v="0.3"/>
    <n v="-16.920000000000002"/>
  </r>
  <r>
    <n v="106"/>
    <s v="ORD-1106"/>
    <x v="100"/>
    <d v="2024-04-16T00:00:00"/>
    <s v="Second Class"/>
    <s v="CUST-169"/>
    <s v="Rebecca Hendrix"/>
    <x v="2"/>
    <s v="USA"/>
    <s v="CA"/>
    <n v="440522"/>
    <x v="0"/>
    <s v="PROD-1045"/>
    <x v="2"/>
    <s v="Phones"/>
    <s v="Phones Product 20"/>
    <n v="55.1"/>
    <n v="10"/>
    <n v="0"/>
    <n v="-6.76"/>
  </r>
  <r>
    <n v="107"/>
    <s v="ORD-1107"/>
    <x v="101"/>
    <d v="2024-11-13T00:00:00"/>
    <s v="Standard Class"/>
    <s v="CUST-192"/>
    <s v="James Beck"/>
    <x v="0"/>
    <s v="USA"/>
    <s v="FL"/>
    <n v="675899"/>
    <x v="1"/>
    <s v="PROD-1097"/>
    <x v="1"/>
    <s v="Chairs"/>
    <s v="Chairs Product 3"/>
    <n v="968.62"/>
    <n v="3"/>
    <n v="0.2"/>
    <n v="-152.76"/>
  </r>
  <r>
    <n v="108"/>
    <s v="ORD-1108"/>
    <x v="102"/>
    <d v="2025-04-19T00:00:00"/>
    <s v="Second Class"/>
    <s v="CUST-168"/>
    <s v="Todd Long"/>
    <x v="2"/>
    <s v="USA"/>
    <s v="FL"/>
    <n v="459287"/>
    <x v="3"/>
    <s v="PROD-1042"/>
    <x v="0"/>
    <s v="Binders"/>
    <s v="Binders Product 4"/>
    <n v="305.41000000000003"/>
    <n v="2"/>
    <n v="0.15"/>
    <n v="40.200000000000003"/>
  </r>
  <r>
    <n v="109"/>
    <s v="ORD-1109"/>
    <x v="103"/>
    <d v="2025-05-24T00:00:00"/>
    <s v="Second Class"/>
    <s v="CUST-109"/>
    <s v="Cameron Mooney"/>
    <x v="0"/>
    <s v="USA"/>
    <s v="FL"/>
    <n v="656127"/>
    <x v="3"/>
    <s v="PROD-1076"/>
    <x v="1"/>
    <s v="Chairs"/>
    <s v="Chairs Product 20"/>
    <n v="1364.02"/>
    <n v="4"/>
    <n v="0.2"/>
    <n v="64.63"/>
  </r>
  <r>
    <n v="110"/>
    <s v="ORD-1110"/>
    <x v="104"/>
    <d v="2025-03-15T00:00:00"/>
    <s v="Standard Class"/>
    <s v="CUST-166"/>
    <s v="Christine Young"/>
    <x v="1"/>
    <s v="USA"/>
    <s v="FL"/>
    <n v="719623"/>
    <x v="1"/>
    <s v="PROD-1010"/>
    <x v="1"/>
    <s v="Chairs"/>
    <s v="Chairs Product 22"/>
    <n v="173.97"/>
    <n v="1"/>
    <n v="0"/>
    <n v="9.19"/>
  </r>
  <r>
    <n v="111"/>
    <s v="ORD-1111"/>
    <x v="40"/>
    <d v="2024-11-23T00:00:00"/>
    <s v="Second Class"/>
    <s v="CUST-176"/>
    <s v="William Whitaker"/>
    <x v="2"/>
    <s v="USA"/>
    <s v="FL"/>
    <n v="147555"/>
    <x v="3"/>
    <s v="PROD-1068"/>
    <x v="0"/>
    <s v="Paper"/>
    <s v="Paper Product 1"/>
    <n v="1840.67"/>
    <n v="4"/>
    <n v="0.3"/>
    <n v="-353.84"/>
  </r>
  <r>
    <n v="112"/>
    <s v="ORD-1112"/>
    <x v="105"/>
    <d v="2024-10-25T00:00:00"/>
    <s v="Standard Class"/>
    <s v="CUST-160"/>
    <s v="Amber Brown"/>
    <x v="1"/>
    <s v="USA"/>
    <s v="FL"/>
    <n v="716102"/>
    <x v="3"/>
    <s v="PROD-1075"/>
    <x v="0"/>
    <s v="Storage"/>
    <s v="Storage Product 12"/>
    <n v="440.19"/>
    <n v="9"/>
    <n v="0.2"/>
    <n v="-18.36"/>
  </r>
  <r>
    <n v="113"/>
    <s v="ORD-1113"/>
    <x v="32"/>
    <d v="2025-02-14T00:00:00"/>
    <s v="Second Class"/>
    <s v="CUST-159"/>
    <s v="Robert Benson"/>
    <x v="1"/>
    <s v="USA"/>
    <s v="FL"/>
    <n v="207892"/>
    <x v="0"/>
    <s v="PROD-1051"/>
    <x v="2"/>
    <s v="Accessories"/>
    <s v="Accessories Product 6"/>
    <n v="1704.32"/>
    <n v="2"/>
    <n v="0.05"/>
    <n v="-136.1"/>
  </r>
  <r>
    <n v="114"/>
    <s v="ORD-1114"/>
    <x v="106"/>
    <d v="2024-07-24T00:00:00"/>
    <s v="Standard Class"/>
    <s v="CUST-179"/>
    <s v="Luke Crawford"/>
    <x v="1"/>
    <s v="USA"/>
    <s v="FL"/>
    <n v="306129"/>
    <x v="3"/>
    <s v="PROD-1028"/>
    <x v="0"/>
    <s v="Storage"/>
    <s v="Storage Product 3"/>
    <n v="139.57"/>
    <n v="3"/>
    <n v="0.2"/>
    <n v="-1.8"/>
  </r>
  <r>
    <n v="115"/>
    <s v="ORD-1115"/>
    <x v="107"/>
    <d v="2024-11-29T00:00:00"/>
    <s v="First Class"/>
    <s v="CUST-144"/>
    <s v="Denise Grant"/>
    <x v="2"/>
    <s v="USA"/>
    <s v="FL"/>
    <n v="369720"/>
    <x v="0"/>
    <s v="PROD-1054"/>
    <x v="0"/>
    <s v="Binders"/>
    <s v="Binders Product 19"/>
    <n v="54.08"/>
    <n v="1"/>
    <n v="0.2"/>
    <n v="15.26"/>
  </r>
  <r>
    <n v="116"/>
    <s v="ORD-1116"/>
    <x v="108"/>
    <d v="2024-05-26T00:00:00"/>
    <s v="Standard Class"/>
    <s v="CUST-188"/>
    <s v="Adrian Proctor"/>
    <x v="1"/>
    <s v="USA"/>
    <s v="FL"/>
    <n v="234664"/>
    <x v="1"/>
    <s v="PROD-1005"/>
    <x v="1"/>
    <s v="Chairs"/>
    <s v="Chairs Product 9"/>
    <n v="1939.78"/>
    <n v="10"/>
    <n v="0.05"/>
    <n v="475.38"/>
  </r>
  <r>
    <n v="117"/>
    <s v="ORD-1117"/>
    <x v="109"/>
    <d v="2024-09-06T00:00:00"/>
    <s v="First Class"/>
    <s v="CUST-133"/>
    <s v="Melissa Howard"/>
    <x v="0"/>
    <s v="USA"/>
    <s v="FL"/>
    <n v="939593"/>
    <x v="2"/>
    <s v="PROD-1014"/>
    <x v="1"/>
    <s v="Chairs"/>
    <s v="Chairs Product 24"/>
    <n v="1512.42"/>
    <n v="4"/>
    <n v="0.05"/>
    <n v="344.72"/>
  </r>
  <r>
    <n v="118"/>
    <s v="ORD-1118"/>
    <x v="110"/>
    <d v="2024-08-26T00:00:00"/>
    <s v="Second Class"/>
    <s v="CUST-113"/>
    <s v="Gregory Garcia"/>
    <x v="2"/>
    <s v="USA"/>
    <s v="FL"/>
    <n v="517302"/>
    <x v="1"/>
    <s v="PROD-1057"/>
    <x v="0"/>
    <s v="Binders"/>
    <s v="Binders Product 17"/>
    <n v="1396.13"/>
    <n v="8"/>
    <n v="0.15"/>
    <n v="-24.6"/>
  </r>
  <r>
    <n v="119"/>
    <s v="ORD-1119"/>
    <x v="111"/>
    <d v="2025-04-13T00:00:00"/>
    <s v="Second Class"/>
    <s v="CUST-127"/>
    <s v="Gregory Underwood"/>
    <x v="1"/>
    <s v="USA"/>
    <s v="TX"/>
    <n v="109375"/>
    <x v="0"/>
    <s v="PROD-1042"/>
    <x v="0"/>
    <s v="Paper"/>
    <s v="Paper Product 2"/>
    <n v="1307.56"/>
    <n v="8"/>
    <n v="0.15"/>
    <n v="79.09"/>
  </r>
  <r>
    <n v="120"/>
    <s v="ORD-1120"/>
    <x v="112"/>
    <d v="2024-03-10T00:00:00"/>
    <s v="Standard Class"/>
    <s v="CUST-131"/>
    <s v="Adrienne Dorsey"/>
    <x v="0"/>
    <s v="USA"/>
    <s v="TX"/>
    <n v="569029"/>
    <x v="2"/>
    <s v="PROD-1036"/>
    <x v="0"/>
    <s v="Paper"/>
    <s v="Paper Product 14"/>
    <n v="1845.32"/>
    <n v="8"/>
    <n v="0.3"/>
    <n v="-310.37"/>
  </r>
  <r>
    <n v="121"/>
    <s v="ORD-1121"/>
    <x v="113"/>
    <d v="2024-11-29T00:00:00"/>
    <s v="Standard Class"/>
    <s v="CUST-186"/>
    <s v="Natalie Castro"/>
    <x v="2"/>
    <s v="USA"/>
    <s v="TX"/>
    <n v="974730"/>
    <x v="2"/>
    <s v="PROD-1040"/>
    <x v="2"/>
    <s v="Copiers"/>
    <s v="Copiers Product 18"/>
    <n v="1262.69"/>
    <n v="1"/>
    <n v="0.1"/>
    <n v="-11.4"/>
  </r>
  <r>
    <n v="122"/>
    <s v="ORD-1122"/>
    <x v="114"/>
    <d v="2024-04-27T00:00:00"/>
    <s v="Standard Class"/>
    <s v="CUST-107"/>
    <s v="Kara Garcia"/>
    <x v="1"/>
    <s v="USA"/>
    <s v="TX"/>
    <n v="506758"/>
    <x v="1"/>
    <s v="PROD-1098"/>
    <x v="2"/>
    <s v="Accessories"/>
    <s v="Accessories Product 17"/>
    <n v="1981.43"/>
    <n v="6"/>
    <n v="0"/>
    <n v="-243.37"/>
  </r>
  <r>
    <n v="123"/>
    <s v="ORD-1123"/>
    <x v="115"/>
    <d v="2025-04-19T00:00:00"/>
    <s v="First Class"/>
    <s v="CUST-174"/>
    <s v="Cindy Owens"/>
    <x v="1"/>
    <s v="USA"/>
    <s v="TX"/>
    <n v="819418"/>
    <x v="0"/>
    <s v="PROD-1086"/>
    <x v="2"/>
    <s v="Accessories"/>
    <s v="Accessories Product 13"/>
    <n v="1944.35"/>
    <n v="10"/>
    <n v="0.1"/>
    <n v="-139.09"/>
  </r>
  <r>
    <n v="124"/>
    <s v="ORD-1124"/>
    <x v="34"/>
    <d v="2024-04-23T00:00:00"/>
    <s v="Standard Class"/>
    <s v="CUST-195"/>
    <s v="Mike Mercado"/>
    <x v="1"/>
    <s v="USA"/>
    <s v="TX"/>
    <n v="913585"/>
    <x v="3"/>
    <s v="PROD-1089"/>
    <x v="1"/>
    <s v="Bookcases"/>
    <s v="Bookcases Product 1"/>
    <n v="528.55999999999995"/>
    <n v="2"/>
    <n v="0.3"/>
    <n v="149.44999999999999"/>
  </r>
  <r>
    <n v="125"/>
    <s v="ORD-1125"/>
    <x v="116"/>
    <d v="2024-02-15T00:00:00"/>
    <s v="First Class"/>
    <s v="CUST-172"/>
    <s v="Autumn Liu"/>
    <x v="0"/>
    <s v="USA"/>
    <s v="TX"/>
    <n v="769276"/>
    <x v="3"/>
    <s v="PROD-1013"/>
    <x v="0"/>
    <s v="Storage"/>
    <s v="Storage Product 27"/>
    <n v="1474.78"/>
    <n v="1"/>
    <n v="0.1"/>
    <n v="459.24"/>
  </r>
  <r>
    <n v="126"/>
    <s v="ORD-1126"/>
    <x v="117"/>
    <d v="2024-07-16T00:00:00"/>
    <s v="Standard Class"/>
    <s v="CUST-101"/>
    <s v="David Anderson"/>
    <x v="2"/>
    <s v="USA"/>
    <s v="TX"/>
    <n v="234129"/>
    <x v="2"/>
    <s v="PROD-1052"/>
    <x v="2"/>
    <s v="Phones"/>
    <s v="Phones Product 27"/>
    <n v="222.93"/>
    <n v="2"/>
    <n v="0.05"/>
    <n v="32.85"/>
  </r>
  <r>
    <n v="127"/>
    <s v="ORD-1127"/>
    <x v="118"/>
    <d v="2024-07-19T00:00:00"/>
    <s v="Standard Class"/>
    <s v="CUST-160"/>
    <s v="Zoe Nicholson"/>
    <x v="1"/>
    <s v="USA"/>
    <s v="TX"/>
    <n v="106307"/>
    <x v="1"/>
    <s v="PROD-1098"/>
    <x v="1"/>
    <s v="Bookcases"/>
    <s v="Bookcases Product 10"/>
    <n v="1745.8"/>
    <n v="5"/>
    <n v="0.15"/>
    <n v="206.16"/>
  </r>
  <r>
    <n v="128"/>
    <s v="ORD-1128"/>
    <x v="71"/>
    <d v="2025-04-06T00:00:00"/>
    <s v="Standard Class"/>
    <s v="CUST-115"/>
    <s v="John Parrish"/>
    <x v="0"/>
    <s v="USA"/>
    <s v="TX"/>
    <n v="401108"/>
    <x v="3"/>
    <s v="PROD-1092"/>
    <x v="2"/>
    <s v="Copiers"/>
    <s v="Copiers Product 9"/>
    <n v="1773.96"/>
    <n v="10"/>
    <n v="0.1"/>
    <n v="475.87"/>
  </r>
  <r>
    <n v="129"/>
    <s v="ORD-1129"/>
    <x v="119"/>
    <d v="2024-05-28T00:00:00"/>
    <s v="Standard Class"/>
    <s v="CUST-154"/>
    <s v="Denise Thompson"/>
    <x v="2"/>
    <s v="USA"/>
    <s v="TX"/>
    <n v="745696"/>
    <x v="1"/>
    <s v="PROD-1082"/>
    <x v="0"/>
    <s v="Storage"/>
    <s v="Storage Product 12"/>
    <n v="686.44"/>
    <n v="5"/>
    <n v="0.3"/>
    <n v="-123.56"/>
  </r>
  <r>
    <n v="130"/>
    <s v="ORD-1130"/>
    <x v="120"/>
    <d v="2024-10-13T00:00:00"/>
    <s v="Standard Class"/>
    <s v="CUST-119"/>
    <s v="William Maxwell"/>
    <x v="2"/>
    <s v="USA"/>
    <s v="TX"/>
    <n v="236670"/>
    <x v="1"/>
    <s v="PROD-1095"/>
    <x v="2"/>
    <s v="Phones"/>
    <s v="Phones Product 15"/>
    <n v="364.46"/>
    <n v="9"/>
    <n v="0.2"/>
    <n v="-28.02"/>
  </r>
  <r>
    <n v="131"/>
    <s v="ORD-1131"/>
    <x v="49"/>
    <d v="2024-05-10T00:00:00"/>
    <s v="Second Class"/>
    <s v="CUST-161"/>
    <s v="Morgan Schwartz"/>
    <x v="1"/>
    <s v="USA"/>
    <s v="TX"/>
    <n v="676452"/>
    <x v="3"/>
    <s v="PROD-1070"/>
    <x v="1"/>
    <s v="Chairs"/>
    <s v="Chairs Product 20"/>
    <n v="846.35"/>
    <n v="2"/>
    <n v="0.1"/>
    <n v="166.23"/>
  </r>
  <r>
    <n v="132"/>
    <s v="ORD-1132"/>
    <x v="121"/>
    <d v="2025-01-21T00:00:00"/>
    <s v="Standard Class"/>
    <s v="CUST-103"/>
    <s v="Sandra Wright"/>
    <x v="2"/>
    <s v="USA"/>
    <s v="TX"/>
    <n v="417473"/>
    <x v="0"/>
    <s v="PROD-1035"/>
    <x v="1"/>
    <s v="Tables"/>
    <s v="Tables Product 19"/>
    <n v="921.56"/>
    <n v="5"/>
    <n v="0.1"/>
    <n v="81.48"/>
  </r>
  <r>
    <n v="133"/>
    <s v="ORD-1133"/>
    <x v="122"/>
    <d v="2024-07-22T00:00:00"/>
    <s v="First Class"/>
    <s v="CUST-134"/>
    <s v="Anthony Pollard"/>
    <x v="0"/>
    <s v="USA"/>
    <s v="TX"/>
    <n v="782360"/>
    <x v="1"/>
    <s v="PROD-1099"/>
    <x v="0"/>
    <s v="Storage"/>
    <s v="Storage Product 26"/>
    <n v="547.16"/>
    <n v="9"/>
    <n v="0"/>
    <n v="32.04"/>
  </r>
  <r>
    <n v="134"/>
    <s v="ORD-1134"/>
    <x v="123"/>
    <d v="2025-05-18T00:00:00"/>
    <s v="First Class"/>
    <s v="CUST-169"/>
    <s v="Carrie Horton"/>
    <x v="1"/>
    <s v="USA"/>
    <s v="TX"/>
    <n v="285074"/>
    <x v="3"/>
    <s v="PROD-1063"/>
    <x v="0"/>
    <s v="Paper"/>
    <s v="Paper Product 23"/>
    <n v="517.71"/>
    <n v="4"/>
    <n v="0.1"/>
    <n v="20.399999999999999"/>
  </r>
  <r>
    <n v="135"/>
    <s v="ORD-1135"/>
    <x v="124"/>
    <d v="2024-12-27T00:00:00"/>
    <s v="First Class"/>
    <s v="CUST-180"/>
    <s v="Natalie Vaughn"/>
    <x v="2"/>
    <s v="USA"/>
    <s v="TX"/>
    <n v="289346"/>
    <x v="2"/>
    <s v="PROD-1053"/>
    <x v="0"/>
    <s v="Paper"/>
    <s v="Paper Product 26"/>
    <n v="1388.6"/>
    <n v="3"/>
    <n v="0.05"/>
    <n v="263.52"/>
  </r>
  <r>
    <n v="136"/>
    <s v="ORD-1136"/>
    <x v="125"/>
    <d v="2024-04-07T00:00:00"/>
    <s v="Standard Class"/>
    <s v="CUST-124"/>
    <s v="Juan Holmes MD"/>
    <x v="0"/>
    <s v="USA"/>
    <s v="TX"/>
    <n v="216615"/>
    <x v="1"/>
    <s v="PROD-1070"/>
    <x v="1"/>
    <s v="Bookcases"/>
    <s v="Bookcases Product 5"/>
    <n v="1153.46"/>
    <n v="10"/>
    <n v="0.3"/>
    <n v="266.11"/>
  </r>
  <r>
    <n v="137"/>
    <s v="ORD-1137"/>
    <x v="126"/>
    <d v="2025-06-14T00:00:00"/>
    <s v="Standard Class"/>
    <s v="CUST-103"/>
    <s v="Alan Joyce"/>
    <x v="2"/>
    <s v="USA"/>
    <s v="NY"/>
    <n v="155947"/>
    <x v="2"/>
    <s v="PROD-1098"/>
    <x v="0"/>
    <s v="Paper"/>
    <s v="Paper Product 6"/>
    <n v="40.61"/>
    <n v="2"/>
    <n v="0"/>
    <n v="6.2"/>
  </r>
  <r>
    <n v="138"/>
    <s v="ORD-1138"/>
    <x v="127"/>
    <d v="2025-01-20T00:00:00"/>
    <s v="First Class"/>
    <s v="CUST-178"/>
    <s v="Paul Warren"/>
    <x v="2"/>
    <s v="USA"/>
    <s v="NY"/>
    <n v="621888"/>
    <x v="3"/>
    <s v="PROD-1011"/>
    <x v="2"/>
    <s v="Accessories"/>
    <s v="Accessories Product 7"/>
    <n v="1862.3"/>
    <n v="8"/>
    <n v="0.1"/>
    <n v="402.59"/>
  </r>
  <r>
    <n v="139"/>
    <s v="ORD-1139"/>
    <x v="128"/>
    <d v="2025-06-26T00:00:00"/>
    <s v="First Class"/>
    <s v="CUST-194"/>
    <s v="Aaron Phillips"/>
    <x v="2"/>
    <s v="USA"/>
    <s v="NY"/>
    <n v="855189"/>
    <x v="3"/>
    <s v="PROD-1087"/>
    <x v="0"/>
    <s v="Paper"/>
    <s v="Paper Product 30"/>
    <n v="35.75"/>
    <n v="4"/>
    <n v="0.05"/>
    <n v="9.69"/>
  </r>
  <r>
    <n v="140"/>
    <s v="ORD-1140"/>
    <x v="129"/>
    <d v="2024-02-13T00:00:00"/>
    <s v="Standard Class"/>
    <s v="CUST-112"/>
    <s v="Emily Ramirez"/>
    <x v="2"/>
    <s v="USA"/>
    <s v="NY"/>
    <n v="890737"/>
    <x v="2"/>
    <s v="PROD-1054"/>
    <x v="2"/>
    <s v="Accessories"/>
    <s v="Accessories Product 2"/>
    <n v="193.78"/>
    <n v="7"/>
    <n v="0.05"/>
    <n v="40.08"/>
  </r>
  <r>
    <n v="141"/>
    <s v="ORD-1141"/>
    <x v="130"/>
    <d v="2024-04-23T00:00:00"/>
    <s v="First Class"/>
    <s v="CUST-198"/>
    <s v="Janice Rodriguez"/>
    <x v="2"/>
    <s v="USA"/>
    <s v="NY"/>
    <n v="595962"/>
    <x v="2"/>
    <s v="PROD-1061"/>
    <x v="0"/>
    <s v="Storage"/>
    <s v="Storage Product 2"/>
    <n v="1104.3699999999999"/>
    <n v="6"/>
    <n v="0.2"/>
    <n v="-1.37"/>
  </r>
  <r>
    <n v="142"/>
    <s v="ORD-1142"/>
    <x v="131"/>
    <d v="2024-12-06T00:00:00"/>
    <s v="First Class"/>
    <s v="CUST-113"/>
    <s v="Amy Park"/>
    <x v="2"/>
    <s v="USA"/>
    <s v="NY"/>
    <n v="908954"/>
    <x v="2"/>
    <s v="PROD-1007"/>
    <x v="1"/>
    <s v="Chairs"/>
    <s v="Chairs Product 22"/>
    <n v="988.89"/>
    <n v="1"/>
    <n v="0.3"/>
    <n v="21.74"/>
  </r>
  <r>
    <n v="143"/>
    <s v="ORD-1143"/>
    <x v="132"/>
    <d v="2024-06-07T00:00:00"/>
    <s v="Second Class"/>
    <s v="CUST-151"/>
    <s v="Danielle Jenkins"/>
    <x v="1"/>
    <s v="USA"/>
    <s v="NY"/>
    <n v="294564"/>
    <x v="0"/>
    <s v="PROD-1076"/>
    <x v="0"/>
    <s v="Paper"/>
    <s v="Paper Product 29"/>
    <n v="1249.5999999999999"/>
    <n v="7"/>
    <n v="0.2"/>
    <n v="67.23"/>
  </r>
  <r>
    <n v="144"/>
    <s v="ORD-1144"/>
    <x v="133"/>
    <d v="2024-12-06T00:00:00"/>
    <s v="Second Class"/>
    <s v="CUST-172"/>
    <s v="Matthew Yates"/>
    <x v="1"/>
    <s v="USA"/>
    <s v="NY"/>
    <n v="435007"/>
    <x v="0"/>
    <s v="PROD-1061"/>
    <x v="1"/>
    <s v="Chairs"/>
    <s v="Chairs Product 10"/>
    <n v="1095.32"/>
    <n v="4"/>
    <n v="0.15"/>
    <n v="160.03"/>
  </r>
  <r>
    <n v="145"/>
    <s v="ORD-1145"/>
    <x v="37"/>
    <d v="2024-09-13T00:00:00"/>
    <s v="First Class"/>
    <s v="CUST-188"/>
    <s v="Albert Morgan"/>
    <x v="1"/>
    <s v="USA"/>
    <s v="NY"/>
    <n v="660068"/>
    <x v="2"/>
    <s v="PROD-1089"/>
    <x v="2"/>
    <s v="Copiers"/>
    <s v="Copiers Product 20"/>
    <n v="1697.81"/>
    <n v="1"/>
    <n v="0"/>
    <n v="536.08000000000004"/>
  </r>
  <r>
    <n v="146"/>
    <s v="ORD-1146"/>
    <x v="134"/>
    <d v="2024-02-19T00:00:00"/>
    <s v="Standard Class"/>
    <s v="CUST-118"/>
    <s v="Mr. David Allen III"/>
    <x v="2"/>
    <s v="USA"/>
    <s v="NY"/>
    <n v="379173"/>
    <x v="3"/>
    <s v="PROD-1009"/>
    <x v="0"/>
    <s v="Paper"/>
    <s v="Paper Product 16"/>
    <n v="1739.5"/>
    <n v="9"/>
    <n v="0.15"/>
    <n v="163.89"/>
  </r>
  <r>
    <n v="147"/>
    <s v="ORD-1147"/>
    <x v="135"/>
    <d v="2024-05-24T00:00:00"/>
    <s v="Second Class"/>
    <s v="CUST-135"/>
    <s v="Kristy Fowler"/>
    <x v="1"/>
    <s v="USA"/>
    <s v="NY"/>
    <n v="505999"/>
    <x v="0"/>
    <s v="PROD-1020"/>
    <x v="0"/>
    <s v="Paper"/>
    <s v="Paper Product 8"/>
    <n v="889.67"/>
    <n v="10"/>
    <n v="0.15"/>
    <n v="-169.34"/>
  </r>
  <r>
    <n v="148"/>
    <s v="ORD-1148"/>
    <x v="136"/>
    <d v="2025-04-23T00:00:00"/>
    <s v="Standard Class"/>
    <s v="CUST-128"/>
    <s v="Steven Lee"/>
    <x v="1"/>
    <s v="USA"/>
    <s v="FL"/>
    <n v="284417"/>
    <x v="0"/>
    <s v="PROD-1009"/>
    <x v="0"/>
    <s v="Binders"/>
    <s v="Binders Product 20"/>
    <n v="1951.41"/>
    <n v="5"/>
    <n v="0.15"/>
    <n v="253.75"/>
  </r>
  <r>
    <n v="149"/>
    <s v="ORD-1149"/>
    <x v="137"/>
    <d v="2024-11-02T00:00:00"/>
    <s v="Second Class"/>
    <s v="CUST-132"/>
    <s v="Brian Wheeler"/>
    <x v="1"/>
    <s v="USA"/>
    <s v="FL"/>
    <n v="679604"/>
    <x v="3"/>
    <s v="PROD-1004"/>
    <x v="0"/>
    <s v="Binders"/>
    <s v="Binders Product 5"/>
    <n v="1756.52"/>
    <n v="9"/>
    <n v="0.2"/>
    <n v="-280.68"/>
  </r>
  <r>
    <n v="150"/>
    <s v="ORD-1150"/>
    <x v="138"/>
    <d v="2024-08-23T00:00:00"/>
    <s v="Second Class"/>
    <s v="CUST-158"/>
    <s v="Daniel Jones"/>
    <x v="2"/>
    <s v="USA"/>
    <s v="FL"/>
    <n v="869474"/>
    <x v="1"/>
    <s v="PROD-1051"/>
    <x v="0"/>
    <s v="Binders"/>
    <s v="Binders Product 28"/>
    <n v="45.75"/>
    <n v="4"/>
    <n v="0.05"/>
    <n v="14.54"/>
  </r>
  <r>
    <n v="151"/>
    <s v="ORD-1151"/>
    <x v="139"/>
    <d v="2024-07-04T00:00:00"/>
    <s v="Standard Class"/>
    <s v="CUST-190"/>
    <s v="Kelly Singh"/>
    <x v="0"/>
    <s v="USA"/>
    <s v="FL"/>
    <n v="877119"/>
    <x v="3"/>
    <s v="PROD-1011"/>
    <x v="1"/>
    <s v="Bookcases"/>
    <s v="Bookcases Product 3"/>
    <n v="1055.8499999999999"/>
    <n v="6"/>
    <n v="0.1"/>
    <n v="352.61"/>
  </r>
  <r>
    <n v="152"/>
    <s v="ORD-1152"/>
    <x v="50"/>
    <d v="2024-11-27T00:00:00"/>
    <s v="First Class"/>
    <s v="CUST-191"/>
    <s v="Lindsey Green"/>
    <x v="2"/>
    <s v="USA"/>
    <s v="FL"/>
    <n v="490657"/>
    <x v="3"/>
    <s v="PROD-1075"/>
    <x v="2"/>
    <s v="Accessories"/>
    <s v="Accessories Product 11"/>
    <n v="1969.81"/>
    <n v="6"/>
    <n v="0.05"/>
    <n v="655.37"/>
  </r>
  <r>
    <n v="153"/>
    <s v="ORD-1153"/>
    <x v="140"/>
    <d v="2025-01-14T00:00:00"/>
    <s v="First Class"/>
    <s v="CUST-182"/>
    <s v="George Johnson"/>
    <x v="0"/>
    <s v="USA"/>
    <s v="FL"/>
    <n v="713581"/>
    <x v="3"/>
    <s v="PROD-1088"/>
    <x v="1"/>
    <s v="Bookcases"/>
    <s v="Bookcases Product 12"/>
    <n v="1758.69"/>
    <n v="7"/>
    <n v="0.15"/>
    <n v="104.91"/>
  </r>
  <r>
    <n v="154"/>
    <s v="ORD-1154"/>
    <x v="122"/>
    <d v="2024-07-25T00:00:00"/>
    <s v="Standard Class"/>
    <s v="CUST-153"/>
    <s v="Ashley Fox"/>
    <x v="0"/>
    <s v="USA"/>
    <s v="FL"/>
    <n v="735855"/>
    <x v="3"/>
    <s v="PROD-1075"/>
    <x v="1"/>
    <s v="Chairs"/>
    <s v="Chairs Product 17"/>
    <n v="477.57"/>
    <n v="7"/>
    <n v="0.05"/>
    <n v="92.92"/>
  </r>
  <r>
    <n v="155"/>
    <s v="ORD-1155"/>
    <x v="141"/>
    <d v="2024-10-06T00:00:00"/>
    <s v="Second Class"/>
    <s v="CUST-113"/>
    <s v="Carlos Cobb"/>
    <x v="1"/>
    <s v="USA"/>
    <s v="FL"/>
    <n v="242406"/>
    <x v="1"/>
    <s v="PROD-1036"/>
    <x v="2"/>
    <s v="Accessories"/>
    <s v="Accessories Product 13"/>
    <n v="714.69"/>
    <n v="1"/>
    <n v="0"/>
    <n v="11.58"/>
  </r>
  <r>
    <n v="156"/>
    <s v="ORD-1156"/>
    <x v="142"/>
    <d v="2025-05-04T00:00:00"/>
    <s v="First Class"/>
    <s v="CUST-181"/>
    <s v="Phillip Nguyen"/>
    <x v="0"/>
    <s v="USA"/>
    <s v="FL"/>
    <n v="506281"/>
    <x v="1"/>
    <s v="PROD-1082"/>
    <x v="2"/>
    <s v="Copiers"/>
    <s v="Copiers Product 26"/>
    <n v="597.04"/>
    <n v="5"/>
    <n v="0.05"/>
    <n v="-25.15"/>
  </r>
  <r>
    <n v="157"/>
    <s v="ORD-1157"/>
    <x v="114"/>
    <d v="2024-04-26T00:00:00"/>
    <s v="Standard Class"/>
    <s v="CUST-149"/>
    <s v="Donald Dominguez"/>
    <x v="2"/>
    <s v="USA"/>
    <s v="FL"/>
    <n v="396628"/>
    <x v="2"/>
    <s v="PROD-1058"/>
    <x v="2"/>
    <s v="Copiers"/>
    <s v="Copiers Product 11"/>
    <n v="1367.88"/>
    <n v="7"/>
    <n v="0.3"/>
    <n v="-26.93"/>
  </r>
  <r>
    <n v="158"/>
    <s v="ORD-1158"/>
    <x v="143"/>
    <d v="2024-07-10T00:00:00"/>
    <s v="First Class"/>
    <s v="CUST-146"/>
    <s v="Eric Moore"/>
    <x v="0"/>
    <s v="USA"/>
    <s v="NY"/>
    <n v="934248"/>
    <x v="1"/>
    <s v="PROD-1010"/>
    <x v="0"/>
    <s v="Binders"/>
    <s v="Binders Product 17"/>
    <n v="616.89"/>
    <n v="7"/>
    <n v="0.3"/>
    <n v="-51.82"/>
  </r>
  <r>
    <n v="159"/>
    <s v="ORD-1159"/>
    <x v="144"/>
    <d v="2025-05-15T00:00:00"/>
    <s v="Standard Class"/>
    <s v="CUST-165"/>
    <s v="Sarah White"/>
    <x v="2"/>
    <s v="USA"/>
    <s v="NY"/>
    <n v="172775"/>
    <x v="0"/>
    <s v="PROD-1048"/>
    <x v="1"/>
    <s v="Bookcases"/>
    <s v="Bookcases Product 5"/>
    <n v="1995.48"/>
    <n v="6"/>
    <n v="0"/>
    <n v="-123.18"/>
  </r>
  <r>
    <n v="160"/>
    <s v="ORD-1160"/>
    <x v="129"/>
    <d v="2024-02-17T00:00:00"/>
    <s v="Standard Class"/>
    <s v="CUST-159"/>
    <s v="Samuel Owens"/>
    <x v="1"/>
    <s v="USA"/>
    <s v="NY"/>
    <n v="849450"/>
    <x v="3"/>
    <s v="PROD-1014"/>
    <x v="1"/>
    <s v="Chairs"/>
    <s v="Chairs Product 13"/>
    <n v="1206.2"/>
    <n v="10"/>
    <n v="0.2"/>
    <n v="193.65"/>
  </r>
  <r>
    <n v="161"/>
    <s v="ORD-1161"/>
    <x v="145"/>
    <d v="2024-01-29T00:00:00"/>
    <s v="First Class"/>
    <s v="CUST-151"/>
    <s v="Roger Hanson"/>
    <x v="1"/>
    <s v="USA"/>
    <s v="NY"/>
    <n v="597302"/>
    <x v="1"/>
    <s v="PROD-1003"/>
    <x v="2"/>
    <s v="Accessories"/>
    <s v="Accessories Product 30"/>
    <n v="508.38"/>
    <n v="3"/>
    <n v="0.05"/>
    <n v="146.07"/>
  </r>
  <r>
    <n v="162"/>
    <s v="ORD-1162"/>
    <x v="7"/>
    <d v="2024-04-23T00:00:00"/>
    <s v="Second Class"/>
    <s v="CUST-178"/>
    <s v="Melissa Gordon"/>
    <x v="0"/>
    <s v="USA"/>
    <s v="NY"/>
    <n v="813939"/>
    <x v="0"/>
    <s v="PROD-1077"/>
    <x v="1"/>
    <s v="Bookcases"/>
    <s v="Bookcases Product 28"/>
    <n v="1526.9"/>
    <n v="7"/>
    <n v="0.05"/>
    <n v="335.47"/>
  </r>
  <r>
    <n v="163"/>
    <s v="ORD-1163"/>
    <x v="146"/>
    <d v="2025-04-21T00:00:00"/>
    <s v="Standard Class"/>
    <s v="CUST-152"/>
    <s v="Ashley Hunter"/>
    <x v="0"/>
    <s v="USA"/>
    <s v="NY"/>
    <n v="849848"/>
    <x v="1"/>
    <s v="PROD-1045"/>
    <x v="2"/>
    <s v="Accessories"/>
    <s v="Accessories Product 2"/>
    <n v="1097.75"/>
    <n v="2"/>
    <n v="0.05"/>
    <n v="4.07"/>
  </r>
  <r>
    <n v="164"/>
    <s v="ORD-1164"/>
    <x v="99"/>
    <d v="2024-10-04T00:00:00"/>
    <s v="Second Class"/>
    <s v="CUST-141"/>
    <s v="Kimberly Williams"/>
    <x v="1"/>
    <s v="USA"/>
    <s v="FL"/>
    <n v="234567"/>
    <x v="1"/>
    <s v="PROD-1058"/>
    <x v="2"/>
    <s v="Accessories"/>
    <s v="Accessories Product 1"/>
    <n v="1417.84"/>
    <n v="7"/>
    <n v="0.15"/>
    <n v="-71.760000000000005"/>
  </r>
  <r>
    <n v="165"/>
    <s v="ORD-1165"/>
    <x v="147"/>
    <d v="2024-11-02T00:00:00"/>
    <s v="Standard Class"/>
    <s v="CUST-110"/>
    <s v="Jeanne Larson"/>
    <x v="0"/>
    <s v="USA"/>
    <s v="FL"/>
    <n v="646103"/>
    <x v="3"/>
    <s v="PROD-1017"/>
    <x v="2"/>
    <s v="Copiers"/>
    <s v="Copiers Product 28"/>
    <n v="886.28"/>
    <n v="8"/>
    <n v="0.1"/>
    <n v="-109.09"/>
  </r>
  <r>
    <n v="166"/>
    <s v="ORD-1166"/>
    <x v="148"/>
    <d v="2024-03-28T00:00:00"/>
    <s v="Standard Class"/>
    <s v="CUST-128"/>
    <s v="Christina Montes"/>
    <x v="2"/>
    <s v="USA"/>
    <s v="FL"/>
    <n v="972569"/>
    <x v="0"/>
    <s v="PROD-1100"/>
    <x v="2"/>
    <s v="Accessories"/>
    <s v="Accessories Product 7"/>
    <n v="554.51"/>
    <n v="9"/>
    <n v="0.2"/>
    <n v="-75.73"/>
  </r>
  <r>
    <n v="167"/>
    <s v="ORD-1167"/>
    <x v="149"/>
    <d v="2025-02-06T00:00:00"/>
    <s v="First Class"/>
    <s v="CUST-155"/>
    <s v="Madeline Fleming"/>
    <x v="2"/>
    <s v="USA"/>
    <s v="FL"/>
    <n v="924034"/>
    <x v="1"/>
    <s v="PROD-1027"/>
    <x v="0"/>
    <s v="Paper"/>
    <s v="Paper Product 20"/>
    <n v="426.89"/>
    <n v="10"/>
    <n v="0"/>
    <n v="111.64"/>
  </r>
  <r>
    <n v="168"/>
    <s v="ORD-1168"/>
    <x v="18"/>
    <d v="2024-05-19T00:00:00"/>
    <s v="First Class"/>
    <s v="CUST-155"/>
    <s v="Benjamin Owens"/>
    <x v="2"/>
    <s v="USA"/>
    <s v="FL"/>
    <n v="387983"/>
    <x v="2"/>
    <s v="PROD-1060"/>
    <x v="0"/>
    <s v="Binders"/>
    <s v="Binders Product 19"/>
    <n v="1935.62"/>
    <n v="4"/>
    <n v="0"/>
    <n v="286.07"/>
  </r>
  <r>
    <n v="169"/>
    <s v="ORD-1169"/>
    <x v="150"/>
    <d v="2024-10-14T00:00:00"/>
    <s v="Standard Class"/>
    <s v="CUST-146"/>
    <s v="Maureen Wheeler"/>
    <x v="1"/>
    <s v="USA"/>
    <s v="FL"/>
    <n v="759311"/>
    <x v="2"/>
    <s v="PROD-1007"/>
    <x v="2"/>
    <s v="Phones"/>
    <s v="Phones Product 29"/>
    <n v="1220.67"/>
    <n v="9"/>
    <n v="0.2"/>
    <n v="87.97"/>
  </r>
  <r>
    <n v="170"/>
    <s v="ORD-1170"/>
    <x v="80"/>
    <d v="2025-02-06T00:00:00"/>
    <s v="First Class"/>
    <s v="CUST-175"/>
    <s v="Jody Turner"/>
    <x v="0"/>
    <s v="USA"/>
    <s v="CA"/>
    <n v="515449"/>
    <x v="2"/>
    <s v="PROD-1060"/>
    <x v="2"/>
    <s v="Phones"/>
    <s v="Phones Product 24"/>
    <n v="230.31"/>
    <n v="4"/>
    <n v="0.05"/>
    <n v="2.25"/>
  </r>
  <r>
    <n v="171"/>
    <s v="ORD-1171"/>
    <x v="151"/>
    <d v="2024-01-11T00:00:00"/>
    <s v="Second Class"/>
    <s v="CUST-175"/>
    <s v="Andrew Johnson"/>
    <x v="2"/>
    <s v="USA"/>
    <s v="CA"/>
    <n v="393716"/>
    <x v="0"/>
    <s v="PROD-1063"/>
    <x v="1"/>
    <s v="Chairs"/>
    <s v="Chairs Product 27"/>
    <n v="1052.93"/>
    <n v="7"/>
    <n v="0.05"/>
    <n v="-95.83"/>
  </r>
  <r>
    <n v="172"/>
    <s v="ORD-1172"/>
    <x v="152"/>
    <d v="2025-02-21T00:00:00"/>
    <s v="First Class"/>
    <s v="CUST-123"/>
    <s v="Linda Patel"/>
    <x v="1"/>
    <s v="USA"/>
    <s v="CA"/>
    <n v="377859"/>
    <x v="2"/>
    <s v="PROD-1059"/>
    <x v="2"/>
    <s v="Copiers"/>
    <s v="Copiers Product 5"/>
    <n v="1712.74"/>
    <n v="5"/>
    <n v="0.15"/>
    <n v="131.29"/>
  </r>
  <r>
    <n v="173"/>
    <s v="ORD-1173"/>
    <x v="153"/>
    <d v="2024-01-17T00:00:00"/>
    <s v="First Class"/>
    <s v="CUST-109"/>
    <s v="Kristin Walker"/>
    <x v="2"/>
    <s v="USA"/>
    <s v="CA"/>
    <n v="894912"/>
    <x v="1"/>
    <s v="PROD-1070"/>
    <x v="2"/>
    <s v="Phones"/>
    <s v="Phones Product 14"/>
    <n v="1916.84"/>
    <n v="9"/>
    <n v="0.05"/>
    <n v="158.41999999999999"/>
  </r>
  <r>
    <n v="174"/>
    <s v="ORD-1174"/>
    <x v="98"/>
    <d v="2024-08-20T00:00:00"/>
    <s v="Second Class"/>
    <s v="CUST-128"/>
    <s v="Steven Carlson"/>
    <x v="0"/>
    <s v="USA"/>
    <s v="FL"/>
    <n v="712157"/>
    <x v="3"/>
    <s v="PROD-1073"/>
    <x v="1"/>
    <s v="Tables"/>
    <s v="Tables Product 10"/>
    <n v="1314.27"/>
    <n v="8"/>
    <n v="0.2"/>
    <n v="8.85"/>
  </r>
  <r>
    <n v="175"/>
    <s v="ORD-1175"/>
    <x v="154"/>
    <d v="2025-05-12T00:00:00"/>
    <s v="Second Class"/>
    <s v="CUST-137"/>
    <s v="April Mendoza"/>
    <x v="0"/>
    <s v="USA"/>
    <s v="FL"/>
    <n v="535481"/>
    <x v="0"/>
    <s v="PROD-1050"/>
    <x v="1"/>
    <s v="Bookcases"/>
    <s v="Bookcases Product 26"/>
    <n v="126.65"/>
    <n v="1"/>
    <n v="0.15"/>
    <n v="-2.78"/>
  </r>
  <r>
    <n v="176"/>
    <s v="ORD-1176"/>
    <x v="155"/>
    <d v="2024-05-14T00:00:00"/>
    <s v="Standard Class"/>
    <s v="CUST-143"/>
    <s v="John Payne"/>
    <x v="1"/>
    <s v="USA"/>
    <s v="FL"/>
    <n v="251535"/>
    <x v="0"/>
    <s v="PROD-1087"/>
    <x v="2"/>
    <s v="Phones"/>
    <s v="Phones Product 2"/>
    <n v="1400.84"/>
    <n v="9"/>
    <n v="0.15"/>
    <n v="346.73"/>
  </r>
  <r>
    <n v="177"/>
    <s v="ORD-1177"/>
    <x v="156"/>
    <d v="2024-06-24T00:00:00"/>
    <s v="Second Class"/>
    <s v="CUST-123"/>
    <s v="Kathryn Huffman"/>
    <x v="1"/>
    <s v="USA"/>
    <s v="FL"/>
    <n v="434775"/>
    <x v="3"/>
    <s v="PROD-1032"/>
    <x v="2"/>
    <s v="Phones"/>
    <s v="Phones Product 6"/>
    <n v="1155.22"/>
    <n v="6"/>
    <n v="0"/>
    <n v="308.89999999999998"/>
  </r>
  <r>
    <n v="178"/>
    <s v="ORD-1178"/>
    <x v="157"/>
    <d v="2024-11-13T00:00:00"/>
    <s v="Second Class"/>
    <s v="CUST-112"/>
    <s v="Isaac Wright"/>
    <x v="2"/>
    <s v="USA"/>
    <s v="FL"/>
    <n v="483924"/>
    <x v="1"/>
    <s v="PROD-1013"/>
    <x v="0"/>
    <s v="Storage"/>
    <s v="Storage Product 17"/>
    <n v="616.5"/>
    <n v="3"/>
    <n v="0"/>
    <n v="53.22"/>
  </r>
  <r>
    <n v="179"/>
    <s v="ORD-1179"/>
    <x v="158"/>
    <d v="2024-06-18T00:00:00"/>
    <s v="First Class"/>
    <s v="CUST-102"/>
    <s v="Matthew King"/>
    <x v="1"/>
    <s v="USA"/>
    <s v="FL"/>
    <n v="780292"/>
    <x v="1"/>
    <s v="PROD-1035"/>
    <x v="1"/>
    <s v="Chairs"/>
    <s v="Chairs Product 17"/>
    <n v="1054.42"/>
    <n v="10"/>
    <n v="0.15"/>
    <n v="206.37"/>
  </r>
  <r>
    <n v="180"/>
    <s v="ORD-1180"/>
    <x v="48"/>
    <d v="2024-11-03T00:00:00"/>
    <s v="First Class"/>
    <s v="CUST-140"/>
    <s v="Michael Mccullough"/>
    <x v="1"/>
    <s v="USA"/>
    <s v="FL"/>
    <n v="139352"/>
    <x v="2"/>
    <s v="PROD-1064"/>
    <x v="0"/>
    <s v="Paper"/>
    <s v="Paper Product 8"/>
    <n v="136.69"/>
    <n v="1"/>
    <n v="0.2"/>
    <n v="-5.72"/>
  </r>
  <r>
    <n v="181"/>
    <s v="ORD-1181"/>
    <x v="155"/>
    <d v="2024-05-14T00:00:00"/>
    <s v="Second Class"/>
    <s v="CUST-103"/>
    <s v="Daniel Moore"/>
    <x v="2"/>
    <s v="USA"/>
    <s v="CA"/>
    <n v="925784"/>
    <x v="2"/>
    <s v="PROD-1096"/>
    <x v="2"/>
    <s v="Phones"/>
    <s v="Phones Product 30"/>
    <n v="55.33"/>
    <n v="4"/>
    <n v="0"/>
    <n v="10.029999999999999"/>
  </r>
  <r>
    <n v="182"/>
    <s v="ORD-1182"/>
    <x v="159"/>
    <d v="2024-02-26T00:00:00"/>
    <s v="Standard Class"/>
    <s v="CUST-180"/>
    <s v="Zachary Hernandez"/>
    <x v="1"/>
    <s v="USA"/>
    <s v="CA"/>
    <n v="474226"/>
    <x v="0"/>
    <s v="PROD-1034"/>
    <x v="2"/>
    <s v="Copiers"/>
    <s v="Copiers Product 26"/>
    <n v="1286.3599999999999"/>
    <n v="5"/>
    <n v="0.1"/>
    <n v="-133.34"/>
  </r>
  <r>
    <n v="183"/>
    <s v="ORD-1183"/>
    <x v="42"/>
    <d v="2024-06-03T00:00:00"/>
    <s v="Second Class"/>
    <s v="CUST-103"/>
    <s v="Elizabeth Johnston"/>
    <x v="1"/>
    <s v="USA"/>
    <s v="CA"/>
    <n v="651528"/>
    <x v="3"/>
    <s v="PROD-1100"/>
    <x v="0"/>
    <s v="Paper"/>
    <s v="Paper Product 4"/>
    <n v="361.7"/>
    <n v="2"/>
    <n v="0.2"/>
    <n v="-36.21"/>
  </r>
  <r>
    <n v="184"/>
    <s v="ORD-1184"/>
    <x v="118"/>
    <d v="2024-07-21T00:00:00"/>
    <s v="Standard Class"/>
    <s v="CUST-160"/>
    <s v="Deborah Bass"/>
    <x v="1"/>
    <s v="USA"/>
    <s v="CA"/>
    <n v="262768"/>
    <x v="3"/>
    <s v="PROD-1098"/>
    <x v="1"/>
    <s v="Tables"/>
    <s v="Tables Product 7"/>
    <n v="1311.75"/>
    <n v="10"/>
    <n v="0"/>
    <n v="445.55"/>
  </r>
  <r>
    <n v="185"/>
    <s v="ORD-1185"/>
    <x v="67"/>
    <d v="2024-11-11T00:00:00"/>
    <s v="First Class"/>
    <s v="CUST-166"/>
    <s v="Keith Roberts"/>
    <x v="1"/>
    <s v="USA"/>
    <s v="CA"/>
    <n v="880900"/>
    <x v="0"/>
    <s v="PROD-1026"/>
    <x v="2"/>
    <s v="Copiers"/>
    <s v="Copiers Product 22"/>
    <n v="485.75"/>
    <n v="7"/>
    <n v="0.2"/>
    <n v="-23.33"/>
  </r>
  <r>
    <n v="186"/>
    <s v="ORD-1186"/>
    <x v="160"/>
    <d v="2024-10-14T00:00:00"/>
    <s v="Second Class"/>
    <s v="CUST-183"/>
    <s v="Jessica Murray"/>
    <x v="1"/>
    <s v="USA"/>
    <s v="CA"/>
    <n v="643736"/>
    <x v="1"/>
    <s v="PROD-1034"/>
    <x v="0"/>
    <s v="Paper"/>
    <s v="Paper Product 1"/>
    <n v="444.42"/>
    <n v="6"/>
    <n v="0.1"/>
    <n v="116.12"/>
  </r>
  <r>
    <n v="187"/>
    <s v="ORD-1187"/>
    <x v="161"/>
    <d v="2024-08-09T00:00:00"/>
    <s v="Second Class"/>
    <s v="CUST-127"/>
    <s v="Charles Harris"/>
    <x v="1"/>
    <s v="USA"/>
    <s v="CA"/>
    <n v="263494"/>
    <x v="2"/>
    <s v="PROD-1013"/>
    <x v="0"/>
    <s v="Storage"/>
    <s v="Storage Product 30"/>
    <n v="658.55"/>
    <n v="10"/>
    <n v="0.1"/>
    <n v="-32.61"/>
  </r>
  <r>
    <n v="188"/>
    <s v="ORD-1188"/>
    <x v="162"/>
    <d v="2025-02-27T00:00:00"/>
    <s v="First Class"/>
    <s v="CUST-161"/>
    <s v="Kathryn Fernandez"/>
    <x v="2"/>
    <s v="USA"/>
    <s v="CA"/>
    <n v="833820"/>
    <x v="3"/>
    <s v="PROD-1070"/>
    <x v="0"/>
    <s v="Paper"/>
    <s v="Paper Product 19"/>
    <n v="1277.23"/>
    <n v="9"/>
    <n v="0.05"/>
    <n v="109.27"/>
  </r>
  <r>
    <n v="189"/>
    <s v="ORD-1189"/>
    <x v="79"/>
    <d v="2024-07-16T00:00:00"/>
    <s v="First Class"/>
    <s v="CUST-136"/>
    <s v="Sarah Davis"/>
    <x v="0"/>
    <s v="USA"/>
    <s v="PA"/>
    <n v="200863"/>
    <x v="3"/>
    <s v="PROD-1073"/>
    <x v="1"/>
    <s v="Tables"/>
    <s v="Tables Product 20"/>
    <n v="1207.97"/>
    <n v="2"/>
    <n v="0.15"/>
    <n v="338.51"/>
  </r>
  <r>
    <n v="190"/>
    <s v="ORD-1190"/>
    <x v="163"/>
    <d v="2025-01-22T00:00:00"/>
    <s v="Second Class"/>
    <s v="CUST-169"/>
    <s v="Michelle Oliver"/>
    <x v="0"/>
    <s v="USA"/>
    <s v="PA"/>
    <n v="697400"/>
    <x v="0"/>
    <s v="PROD-1063"/>
    <x v="1"/>
    <s v="Tables"/>
    <s v="Tables Product 15"/>
    <n v="1448.55"/>
    <n v="9"/>
    <n v="0.1"/>
    <n v="-219.16"/>
  </r>
  <r>
    <n v="191"/>
    <s v="ORD-1191"/>
    <x v="164"/>
    <d v="2024-02-14T00:00:00"/>
    <s v="First Class"/>
    <s v="CUST-189"/>
    <s v="Phillip Aguilar"/>
    <x v="0"/>
    <s v="USA"/>
    <s v="PA"/>
    <n v="116734"/>
    <x v="2"/>
    <s v="PROD-1019"/>
    <x v="0"/>
    <s v="Paper"/>
    <s v="Paper Product 13"/>
    <n v="331.11"/>
    <n v="7"/>
    <n v="0"/>
    <n v="76.42"/>
  </r>
  <r>
    <n v="192"/>
    <s v="ORD-1192"/>
    <x v="58"/>
    <d v="2024-06-17T00:00:00"/>
    <s v="Second Class"/>
    <s v="CUST-194"/>
    <s v="Meredith Jordan"/>
    <x v="2"/>
    <s v="USA"/>
    <s v="PA"/>
    <n v="710646"/>
    <x v="1"/>
    <s v="PROD-1021"/>
    <x v="0"/>
    <s v="Binders"/>
    <s v="Binders Product 24"/>
    <n v="1425.64"/>
    <n v="5"/>
    <n v="0.3"/>
    <n v="-200.75"/>
  </r>
  <r>
    <n v="193"/>
    <s v="ORD-1193"/>
    <x v="165"/>
    <d v="2024-11-08T00:00:00"/>
    <s v="Second Class"/>
    <s v="CUST-178"/>
    <s v="Anthony Wallace"/>
    <x v="2"/>
    <s v="USA"/>
    <s v="PA"/>
    <n v="730057"/>
    <x v="0"/>
    <s v="PROD-1060"/>
    <x v="1"/>
    <s v="Tables"/>
    <s v="Tables Product 2"/>
    <n v="1576.72"/>
    <n v="1"/>
    <n v="0.05"/>
    <n v="-284.66000000000003"/>
  </r>
  <r>
    <n v="194"/>
    <s v="ORD-1194"/>
    <x v="152"/>
    <d v="2025-02-20T00:00:00"/>
    <s v="Standard Class"/>
    <s v="CUST-163"/>
    <s v="Connie Carlson"/>
    <x v="2"/>
    <s v="USA"/>
    <s v="PA"/>
    <n v="610747"/>
    <x v="2"/>
    <s v="PROD-1027"/>
    <x v="1"/>
    <s v="Chairs"/>
    <s v="Chairs Product 8"/>
    <n v="175.6"/>
    <n v="4"/>
    <n v="0.15"/>
    <n v="40.71"/>
  </r>
  <r>
    <n v="195"/>
    <s v="ORD-1195"/>
    <x v="166"/>
    <d v="2024-07-17T00:00:00"/>
    <s v="Standard Class"/>
    <s v="CUST-180"/>
    <s v="Vanessa Dickson"/>
    <x v="0"/>
    <s v="USA"/>
    <s v="PA"/>
    <n v="928809"/>
    <x v="3"/>
    <s v="PROD-1012"/>
    <x v="2"/>
    <s v="Copiers"/>
    <s v="Copiers Product 1"/>
    <n v="967.26"/>
    <n v="3"/>
    <n v="0.15"/>
    <n v="73.92"/>
  </r>
  <r>
    <n v="196"/>
    <s v="ORD-1196"/>
    <x v="167"/>
    <d v="2024-07-04T00:00:00"/>
    <s v="First Class"/>
    <s v="CUST-157"/>
    <s v="Katelyn Wright"/>
    <x v="0"/>
    <s v="USA"/>
    <s v="CA"/>
    <n v="906755"/>
    <x v="0"/>
    <s v="PROD-1014"/>
    <x v="1"/>
    <s v="Bookcases"/>
    <s v="Bookcases Product 20"/>
    <n v="1617.44"/>
    <n v="10"/>
    <n v="0.15"/>
    <n v="-13.67"/>
  </r>
  <r>
    <n v="197"/>
    <s v="ORD-1197"/>
    <x v="130"/>
    <d v="2024-04-26T00:00:00"/>
    <s v="First Class"/>
    <s v="CUST-100"/>
    <s v="Richard Cook"/>
    <x v="2"/>
    <s v="USA"/>
    <s v="FL"/>
    <n v="847393"/>
    <x v="2"/>
    <s v="PROD-1066"/>
    <x v="0"/>
    <s v="Paper"/>
    <s v="Paper Product 28"/>
    <n v="895.55"/>
    <n v="1"/>
    <n v="0.1"/>
    <n v="-60.63"/>
  </r>
  <r>
    <n v="198"/>
    <s v="ORD-1198"/>
    <x v="168"/>
    <d v="2024-09-27T00:00:00"/>
    <s v="Standard Class"/>
    <s v="CUST-125"/>
    <s v="Joshua Mitchell"/>
    <x v="1"/>
    <s v="USA"/>
    <s v="FL"/>
    <n v="908520"/>
    <x v="2"/>
    <s v="PROD-1065"/>
    <x v="1"/>
    <s v="Bookcases"/>
    <s v="Bookcases Product 30"/>
    <n v="1702.67"/>
    <n v="7"/>
    <n v="0.1"/>
    <n v="106.99"/>
  </r>
  <r>
    <n v="199"/>
    <s v="ORD-1199"/>
    <x v="152"/>
    <d v="2025-02-23T00:00:00"/>
    <s v="First Class"/>
    <s v="CUST-173"/>
    <s v="Kristopher Browning"/>
    <x v="1"/>
    <s v="USA"/>
    <s v="FL"/>
    <n v="198592"/>
    <x v="3"/>
    <s v="PROD-1004"/>
    <x v="0"/>
    <s v="Binders"/>
    <s v="Binders Product 25"/>
    <n v="336.64"/>
    <n v="1"/>
    <n v="0.15"/>
    <n v="75.260000000000005"/>
  </r>
  <r>
    <n v="200"/>
    <s v="ORD-1200"/>
    <x v="169"/>
    <d v="2025-05-21T00:00:00"/>
    <s v="Standard Class"/>
    <s v="CUST-169"/>
    <s v="Jeffrey Dalton"/>
    <x v="1"/>
    <s v="USA"/>
    <s v="FL"/>
    <n v="984319"/>
    <x v="3"/>
    <s v="PROD-1033"/>
    <x v="0"/>
    <s v="Paper"/>
    <s v="Paper Product 2"/>
    <n v="658.45"/>
    <n v="3"/>
    <n v="0.05"/>
    <n v="53.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58B8AF-8426-4263-9EB2-618931B46590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F12:G33" firstHeaderRow="1" firstDataRow="1" firstDataCol="1"/>
  <pivotFields count="22">
    <pivotField showAll="0"/>
    <pivotField showAll="0"/>
    <pivotField numFmtId="14" showAll="0">
      <items count="171">
        <item x="56"/>
        <item x="151"/>
        <item x="52"/>
        <item x="153"/>
        <item x="53"/>
        <item x="75"/>
        <item x="85"/>
        <item x="145"/>
        <item x="66"/>
        <item x="14"/>
        <item x="55"/>
        <item x="16"/>
        <item x="22"/>
        <item x="164"/>
        <item x="129"/>
        <item x="116"/>
        <item x="5"/>
        <item x="88"/>
        <item x="134"/>
        <item x="159"/>
        <item x="70"/>
        <item x="46"/>
        <item x="57"/>
        <item x="112"/>
        <item x="35"/>
        <item x="82"/>
        <item x="59"/>
        <item x="148"/>
        <item x="65"/>
        <item x="2"/>
        <item x="83"/>
        <item x="125"/>
        <item x="26"/>
        <item x="100"/>
        <item x="34"/>
        <item x="7"/>
        <item x="130"/>
        <item x="114"/>
        <item x="47"/>
        <item x="93"/>
        <item x="155"/>
        <item x="49"/>
        <item x="87"/>
        <item x="60"/>
        <item x="18"/>
        <item x="108"/>
        <item x="135"/>
        <item x="28"/>
        <item x="119"/>
        <item x="42"/>
        <item x="132"/>
        <item x="64"/>
        <item x="45"/>
        <item x="6"/>
        <item x="72"/>
        <item x="41"/>
        <item x="158"/>
        <item x="84"/>
        <item x="58"/>
        <item x="156"/>
        <item x="38"/>
        <item x="20"/>
        <item x="167"/>
        <item x="139"/>
        <item x="143"/>
        <item x="24"/>
        <item x="166"/>
        <item x="117"/>
        <item x="79"/>
        <item x="27"/>
        <item x="118"/>
        <item x="95"/>
        <item x="122"/>
        <item x="106"/>
        <item x="44"/>
        <item x="86"/>
        <item x="161"/>
        <item x="36"/>
        <item x="77"/>
        <item x="3"/>
        <item x="98"/>
        <item x="138"/>
        <item x="110"/>
        <item x="91"/>
        <item x="109"/>
        <item x="76"/>
        <item x="37"/>
        <item x="17"/>
        <item x="168"/>
        <item x="62"/>
        <item x="99"/>
        <item x="141"/>
        <item x="150"/>
        <item x="160"/>
        <item x="120"/>
        <item x="15"/>
        <item x="105"/>
        <item x="61"/>
        <item x="137"/>
        <item x="74"/>
        <item x="48"/>
        <item x="147"/>
        <item x="165"/>
        <item x="67"/>
        <item x="30"/>
        <item x="25"/>
        <item x="31"/>
        <item x="101"/>
        <item x="157"/>
        <item x="13"/>
        <item x="40"/>
        <item x="50"/>
        <item x="113"/>
        <item x="107"/>
        <item x="133"/>
        <item x="131"/>
        <item x="94"/>
        <item x="73"/>
        <item x="124"/>
        <item x="54"/>
        <item x="10"/>
        <item x="140"/>
        <item x="127"/>
        <item x="163"/>
        <item x="121"/>
        <item x="80"/>
        <item x="21"/>
        <item x="149"/>
        <item x="9"/>
        <item x="51"/>
        <item x="32"/>
        <item x="152"/>
        <item x="162"/>
        <item x="4"/>
        <item x="43"/>
        <item x="104"/>
        <item x="12"/>
        <item x="68"/>
        <item x="78"/>
        <item x="11"/>
        <item x="71"/>
        <item x="90"/>
        <item x="69"/>
        <item x="23"/>
        <item x="111"/>
        <item x="115"/>
        <item x="146"/>
        <item x="102"/>
        <item x="29"/>
        <item x="136"/>
        <item x="96"/>
        <item x="1"/>
        <item x="19"/>
        <item x="0"/>
        <item x="142"/>
        <item x="39"/>
        <item x="33"/>
        <item x="144"/>
        <item x="154"/>
        <item x="123"/>
        <item x="169"/>
        <item x="92"/>
        <item x="103"/>
        <item x="81"/>
        <item x="63"/>
        <item x="89"/>
        <item x="97"/>
        <item x="126"/>
        <item x="8"/>
        <item x="128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21"/>
    <field x="20"/>
  </rowFields>
  <rowItems count="21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Sales" fld="16" baseField="0" baseItem="0" numFmtId="170"/>
  </dataFields>
  <formats count="1">
    <format dxfId="0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6BD5C6-A31F-416D-A24F-5843F2C7ED68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F4:H8" firstHeaderRow="0" firstDataRow="1" firstDataCol="1"/>
  <pivotFields count="22">
    <pivotField showAll="0"/>
    <pivotField showAll="0"/>
    <pivotField numFmtId="14" showAll="0">
      <items count="171">
        <item x="56"/>
        <item x="151"/>
        <item x="52"/>
        <item x="153"/>
        <item x="53"/>
        <item x="75"/>
        <item x="85"/>
        <item x="145"/>
        <item x="66"/>
        <item x="14"/>
        <item x="55"/>
        <item x="16"/>
        <item x="22"/>
        <item x="164"/>
        <item x="129"/>
        <item x="116"/>
        <item x="5"/>
        <item x="88"/>
        <item x="134"/>
        <item x="159"/>
        <item x="70"/>
        <item x="46"/>
        <item x="57"/>
        <item x="112"/>
        <item x="35"/>
        <item x="82"/>
        <item x="59"/>
        <item x="148"/>
        <item x="65"/>
        <item x="2"/>
        <item x="83"/>
        <item x="125"/>
        <item x="26"/>
        <item x="100"/>
        <item x="34"/>
        <item x="7"/>
        <item x="130"/>
        <item x="114"/>
        <item x="47"/>
        <item x="93"/>
        <item x="155"/>
        <item x="49"/>
        <item x="87"/>
        <item x="60"/>
        <item x="18"/>
        <item x="108"/>
        <item x="135"/>
        <item x="28"/>
        <item x="119"/>
        <item x="42"/>
        <item x="132"/>
        <item x="64"/>
        <item x="45"/>
        <item x="6"/>
        <item x="72"/>
        <item x="41"/>
        <item x="158"/>
        <item x="84"/>
        <item x="58"/>
        <item x="156"/>
        <item x="38"/>
        <item x="20"/>
        <item x="167"/>
        <item x="139"/>
        <item x="143"/>
        <item x="24"/>
        <item x="166"/>
        <item x="117"/>
        <item x="79"/>
        <item x="27"/>
        <item x="118"/>
        <item x="95"/>
        <item x="122"/>
        <item x="106"/>
        <item x="44"/>
        <item x="86"/>
        <item x="161"/>
        <item x="36"/>
        <item x="77"/>
        <item x="3"/>
        <item x="98"/>
        <item x="138"/>
        <item x="110"/>
        <item x="91"/>
        <item x="109"/>
        <item x="76"/>
        <item x="37"/>
        <item x="17"/>
        <item x="168"/>
        <item x="62"/>
        <item x="99"/>
        <item x="141"/>
        <item x="150"/>
        <item x="160"/>
        <item x="120"/>
        <item x="15"/>
        <item x="105"/>
        <item x="61"/>
        <item x="137"/>
        <item x="74"/>
        <item x="48"/>
        <item x="147"/>
        <item x="165"/>
        <item x="67"/>
        <item x="30"/>
        <item x="25"/>
        <item x="31"/>
        <item x="101"/>
        <item x="157"/>
        <item x="13"/>
        <item x="40"/>
        <item x="50"/>
        <item x="113"/>
        <item x="107"/>
        <item x="133"/>
        <item x="131"/>
        <item x="94"/>
        <item x="73"/>
        <item x="124"/>
        <item x="54"/>
        <item x="10"/>
        <item x="140"/>
        <item x="127"/>
        <item x="163"/>
        <item x="121"/>
        <item x="80"/>
        <item x="21"/>
        <item x="149"/>
        <item x="9"/>
        <item x="51"/>
        <item x="32"/>
        <item x="152"/>
        <item x="162"/>
        <item x="4"/>
        <item x="43"/>
        <item x="104"/>
        <item x="12"/>
        <item x="68"/>
        <item x="78"/>
        <item x="11"/>
        <item x="71"/>
        <item x="90"/>
        <item x="69"/>
        <item x="23"/>
        <item x="111"/>
        <item x="115"/>
        <item x="146"/>
        <item x="102"/>
        <item x="29"/>
        <item x="136"/>
        <item x="96"/>
        <item x="1"/>
        <item x="19"/>
        <item x="0"/>
        <item x="142"/>
        <item x="39"/>
        <item x="33"/>
        <item x="144"/>
        <item x="154"/>
        <item x="123"/>
        <item x="169"/>
        <item x="92"/>
        <item x="103"/>
        <item x="81"/>
        <item x="63"/>
        <item x="89"/>
        <item x="97"/>
        <item x="126"/>
        <item x="8"/>
        <item x="128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6" baseField="0" baseItem="0"/>
    <dataField name="Sum of Profit" fld="19" baseField="0" baseItem="0"/>
  </dataFields>
  <formats count="1">
    <format dxfId="8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8A4D5E-141C-455B-971F-CC798128305C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Regions">
  <location ref="A4:B9" firstHeaderRow="1" firstDataRow="1" firstDataCol="1"/>
  <pivotFields count="22">
    <pivotField showAll="0"/>
    <pivotField showAll="0"/>
    <pivotField numFmtId="14" showAll="0">
      <items count="171">
        <item x="56"/>
        <item x="151"/>
        <item x="52"/>
        <item x="153"/>
        <item x="53"/>
        <item x="75"/>
        <item x="85"/>
        <item x="145"/>
        <item x="66"/>
        <item x="14"/>
        <item x="55"/>
        <item x="16"/>
        <item x="22"/>
        <item x="164"/>
        <item x="129"/>
        <item x="116"/>
        <item x="5"/>
        <item x="88"/>
        <item x="134"/>
        <item x="159"/>
        <item x="70"/>
        <item x="46"/>
        <item x="57"/>
        <item x="112"/>
        <item x="35"/>
        <item x="82"/>
        <item x="59"/>
        <item x="148"/>
        <item x="65"/>
        <item x="2"/>
        <item x="83"/>
        <item x="125"/>
        <item x="26"/>
        <item x="100"/>
        <item x="34"/>
        <item x="7"/>
        <item x="130"/>
        <item x="114"/>
        <item x="47"/>
        <item x="93"/>
        <item x="155"/>
        <item x="49"/>
        <item x="87"/>
        <item x="60"/>
        <item x="18"/>
        <item x="108"/>
        <item x="135"/>
        <item x="28"/>
        <item x="119"/>
        <item x="42"/>
        <item x="132"/>
        <item x="64"/>
        <item x="45"/>
        <item x="6"/>
        <item x="72"/>
        <item x="41"/>
        <item x="158"/>
        <item x="84"/>
        <item x="58"/>
        <item x="156"/>
        <item x="38"/>
        <item x="20"/>
        <item x="167"/>
        <item x="139"/>
        <item x="143"/>
        <item x="24"/>
        <item x="166"/>
        <item x="117"/>
        <item x="79"/>
        <item x="27"/>
        <item x="118"/>
        <item x="95"/>
        <item x="122"/>
        <item x="106"/>
        <item x="44"/>
        <item x="86"/>
        <item x="161"/>
        <item x="36"/>
        <item x="77"/>
        <item x="3"/>
        <item x="98"/>
        <item x="138"/>
        <item x="110"/>
        <item x="91"/>
        <item x="109"/>
        <item x="76"/>
        <item x="37"/>
        <item x="17"/>
        <item x="168"/>
        <item x="62"/>
        <item x="99"/>
        <item x="141"/>
        <item x="150"/>
        <item x="160"/>
        <item x="120"/>
        <item x="15"/>
        <item x="105"/>
        <item x="61"/>
        <item x="137"/>
        <item x="74"/>
        <item x="48"/>
        <item x="147"/>
        <item x="165"/>
        <item x="67"/>
        <item x="30"/>
        <item x="25"/>
        <item x="31"/>
        <item x="101"/>
        <item x="157"/>
        <item x="13"/>
        <item x="40"/>
        <item x="50"/>
        <item x="113"/>
        <item x="107"/>
        <item x="133"/>
        <item x="131"/>
        <item x="94"/>
        <item x="73"/>
        <item x="124"/>
        <item x="54"/>
        <item x="10"/>
        <item x="140"/>
        <item x="127"/>
        <item x="163"/>
        <item x="121"/>
        <item x="80"/>
        <item x="21"/>
        <item x="149"/>
        <item x="9"/>
        <item x="51"/>
        <item x="32"/>
        <item x="152"/>
        <item x="162"/>
        <item x="4"/>
        <item x="43"/>
        <item x="104"/>
        <item x="12"/>
        <item x="68"/>
        <item x="78"/>
        <item x="11"/>
        <item x="71"/>
        <item x="90"/>
        <item x="69"/>
        <item x="23"/>
        <item x="111"/>
        <item x="115"/>
        <item x="146"/>
        <item x="102"/>
        <item x="29"/>
        <item x="136"/>
        <item x="96"/>
        <item x="1"/>
        <item x="19"/>
        <item x="0"/>
        <item x="142"/>
        <item x="39"/>
        <item x="33"/>
        <item x="144"/>
        <item x="154"/>
        <item x="123"/>
        <item x="169"/>
        <item x="92"/>
        <item x="103"/>
        <item x="81"/>
        <item x="63"/>
        <item x="89"/>
        <item x="97"/>
        <item x="126"/>
        <item x="8"/>
        <item x="128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6" baseField="0" baseItem="0" numFmtId="170"/>
  </dataFields>
  <formats count="1">
    <format dxfId="9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FF949D-B82A-4639-9F44-CE54D026192D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gments">
  <location ref="L4:M8" firstHeaderRow="1" firstDataRow="1" firstDataCol="1"/>
  <pivotFields count="22">
    <pivotField showAll="0"/>
    <pivotField showAll="0"/>
    <pivotField numFmtId="14" showAll="0">
      <items count="171">
        <item x="56"/>
        <item x="151"/>
        <item x="52"/>
        <item x="153"/>
        <item x="53"/>
        <item x="75"/>
        <item x="85"/>
        <item x="145"/>
        <item x="66"/>
        <item x="14"/>
        <item x="55"/>
        <item x="16"/>
        <item x="22"/>
        <item x="164"/>
        <item x="129"/>
        <item x="116"/>
        <item x="5"/>
        <item x="88"/>
        <item x="134"/>
        <item x="159"/>
        <item x="70"/>
        <item x="46"/>
        <item x="57"/>
        <item x="112"/>
        <item x="35"/>
        <item x="82"/>
        <item x="59"/>
        <item x="148"/>
        <item x="65"/>
        <item x="2"/>
        <item x="83"/>
        <item x="125"/>
        <item x="26"/>
        <item x="100"/>
        <item x="34"/>
        <item x="7"/>
        <item x="130"/>
        <item x="114"/>
        <item x="47"/>
        <item x="93"/>
        <item x="155"/>
        <item x="49"/>
        <item x="87"/>
        <item x="60"/>
        <item x="18"/>
        <item x="108"/>
        <item x="135"/>
        <item x="28"/>
        <item x="119"/>
        <item x="42"/>
        <item x="132"/>
        <item x="64"/>
        <item x="45"/>
        <item x="6"/>
        <item x="72"/>
        <item x="41"/>
        <item x="158"/>
        <item x="84"/>
        <item x="58"/>
        <item x="156"/>
        <item x="38"/>
        <item x="20"/>
        <item x="167"/>
        <item x="139"/>
        <item x="143"/>
        <item x="24"/>
        <item x="166"/>
        <item x="117"/>
        <item x="79"/>
        <item x="27"/>
        <item x="118"/>
        <item x="95"/>
        <item x="122"/>
        <item x="106"/>
        <item x="44"/>
        <item x="86"/>
        <item x="161"/>
        <item x="36"/>
        <item x="77"/>
        <item x="3"/>
        <item x="98"/>
        <item x="138"/>
        <item x="110"/>
        <item x="91"/>
        <item x="109"/>
        <item x="76"/>
        <item x="37"/>
        <item x="17"/>
        <item x="168"/>
        <item x="62"/>
        <item x="99"/>
        <item x="141"/>
        <item x="150"/>
        <item x="160"/>
        <item x="120"/>
        <item x="15"/>
        <item x="105"/>
        <item x="61"/>
        <item x="137"/>
        <item x="74"/>
        <item x="48"/>
        <item x="147"/>
        <item x="165"/>
        <item x="67"/>
        <item x="30"/>
        <item x="25"/>
        <item x="31"/>
        <item x="101"/>
        <item x="157"/>
        <item x="13"/>
        <item x="40"/>
        <item x="50"/>
        <item x="113"/>
        <item x="107"/>
        <item x="133"/>
        <item x="131"/>
        <item x="94"/>
        <item x="73"/>
        <item x="124"/>
        <item x="54"/>
        <item x="10"/>
        <item x="140"/>
        <item x="127"/>
        <item x="163"/>
        <item x="121"/>
        <item x="80"/>
        <item x="21"/>
        <item x="149"/>
        <item x="9"/>
        <item x="51"/>
        <item x="32"/>
        <item x="152"/>
        <item x="162"/>
        <item x="4"/>
        <item x="43"/>
        <item x="104"/>
        <item x="12"/>
        <item x="68"/>
        <item x="78"/>
        <item x="11"/>
        <item x="71"/>
        <item x="90"/>
        <item x="69"/>
        <item x="23"/>
        <item x="111"/>
        <item x="115"/>
        <item x="146"/>
        <item x="102"/>
        <item x="29"/>
        <item x="136"/>
        <item x="96"/>
        <item x="1"/>
        <item x="19"/>
        <item x="0"/>
        <item x="142"/>
        <item x="39"/>
        <item x="33"/>
        <item x="144"/>
        <item x="154"/>
        <item x="123"/>
        <item x="169"/>
        <item x="92"/>
        <item x="103"/>
        <item x="81"/>
        <item x="63"/>
        <item x="89"/>
        <item x="97"/>
        <item x="126"/>
        <item x="8"/>
        <item x="128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6" baseField="0" baseItem="0" numFmtId="170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61D621-4109-469A-BDC8-72D952F1C175}" name="RetailData" displayName="RetailData" ref="A1:T201" totalsRowShown="0">
  <autoFilter ref="A1:T201" xr:uid="{4361D621-4109-469A-BDC8-72D952F1C175}"/>
  <tableColumns count="20">
    <tableColumn id="1" xr3:uid="{84EB94A6-91B3-4E85-BEEC-6F951603BF4C}" name="Row_ID"/>
    <tableColumn id="2" xr3:uid="{22D09EC6-06BA-4653-9541-741281EBE011}" name="Order_ID"/>
    <tableColumn id="3" xr3:uid="{E6C1B076-55F8-4004-A3B9-9F31D5358EAD}" name="Order_Date" dataDxfId="11"/>
    <tableColumn id="4" xr3:uid="{561C2504-90C6-49F3-B2AC-089DBBCB0D7F}" name="Ship_Date" dataDxfId="10"/>
    <tableColumn id="5" xr3:uid="{69550199-1BB6-4279-BE11-D02A31BF5300}" name="Ship_Mode"/>
    <tableColumn id="6" xr3:uid="{013F6B0E-2F3C-4092-A40A-0DD5A222CA54}" name="Customer_ID"/>
    <tableColumn id="7" xr3:uid="{A2D1A159-80BD-40B5-93A3-FA0F05803282}" name="Customer_Name"/>
    <tableColumn id="8" xr3:uid="{123F358A-721A-4B2E-B0ED-763FAF2DB413}" name="Segment"/>
    <tableColumn id="9" xr3:uid="{E9CCA70B-84CA-4ECE-9A5B-ADF4FA1286D5}" name="Country"/>
    <tableColumn id="10" xr3:uid="{2A3815B6-44F3-4E35-BE03-7F1A22F624D4}" name="State"/>
    <tableColumn id="11" xr3:uid="{391C3CEE-9A25-4920-A40A-A579DBA8CE4D}" name="Postal_Code"/>
    <tableColumn id="12" xr3:uid="{CD40B08D-A719-4E2D-AECB-379C247B6E45}" name="Region"/>
    <tableColumn id="13" xr3:uid="{B3CBBECD-C847-4AA0-8328-F41EBB32724E}" name="Product_ID"/>
    <tableColumn id="14" xr3:uid="{48972315-8A95-4FDE-BF66-2374AFE04A9F}" name="Category"/>
    <tableColumn id="15" xr3:uid="{B68E5BE6-8ED6-408A-A6CB-0C7001F53C57}" name="Sub_Category"/>
    <tableColumn id="16" xr3:uid="{23374E5E-81C8-479C-921A-855975D07AB1}" name="Product_Name"/>
    <tableColumn id="17" xr3:uid="{96E937A9-97E8-45AC-9290-097D6310F6B6}" name="Sales"/>
    <tableColumn id="18" xr3:uid="{7696193B-1313-4630-9B31-20D7A4C21245}" name="Quantity"/>
    <tableColumn id="19" xr3:uid="{8E55096B-1745-461F-B06F-CDE5449E5DB7}" name="Discount"/>
    <tableColumn id="20" xr3:uid="{3DE18E61-BEAA-406C-BEB5-176BC64935D9}" name="Profi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6AA23-BBDC-49C6-9DB5-A5685B1B480C}">
  <dimension ref="B1:J7"/>
  <sheetViews>
    <sheetView tabSelected="1" workbookViewId="0">
      <selection activeCell="F29" sqref="F29"/>
    </sheetView>
  </sheetViews>
  <sheetFormatPr defaultRowHeight="14.5" x14ac:dyDescent="0.35"/>
  <cols>
    <col min="2" max="2" width="27.1796875" customWidth="1"/>
    <col min="4" max="4" width="16.90625" customWidth="1"/>
    <col min="6" max="6" width="19.54296875" customWidth="1"/>
    <col min="8" max="8" width="8.54296875" customWidth="1"/>
  </cols>
  <sheetData>
    <row r="1" spans="2:10" x14ac:dyDescent="0.35">
      <c r="B1" s="3" t="s">
        <v>797</v>
      </c>
    </row>
    <row r="2" spans="2:10" x14ac:dyDescent="0.35">
      <c r="B2" s="13" t="s">
        <v>790</v>
      </c>
      <c r="C2" s="14"/>
      <c r="D2" s="13" t="s">
        <v>791</v>
      </c>
      <c r="E2" s="14"/>
      <c r="F2" s="13" t="s">
        <v>792</v>
      </c>
      <c r="H2" s="3"/>
    </row>
    <row r="3" spans="2:10" ht="23.5" x14ac:dyDescent="0.55000000000000004">
      <c r="B3" s="15">
        <v>206813.95</v>
      </c>
      <c r="C3" s="14"/>
      <c r="D3" s="15">
        <v>13042.51</v>
      </c>
      <c r="E3" s="14"/>
      <c r="F3" s="16">
        <v>6.3100000000000003E-2</v>
      </c>
    </row>
    <row r="4" spans="2:10" x14ac:dyDescent="0.35">
      <c r="B4" s="14"/>
      <c r="C4" s="14"/>
      <c r="D4" s="14"/>
      <c r="E4" s="14"/>
      <c r="F4" s="14"/>
    </row>
    <row r="5" spans="2:10" x14ac:dyDescent="0.35">
      <c r="B5" s="13" t="s">
        <v>793</v>
      </c>
      <c r="C5" s="14"/>
      <c r="D5" s="13" t="s">
        <v>794</v>
      </c>
      <c r="E5" s="14"/>
      <c r="F5" s="13" t="s">
        <v>795</v>
      </c>
    </row>
    <row r="6" spans="2:10" ht="23.5" x14ac:dyDescent="0.55000000000000004">
      <c r="B6" s="17">
        <v>200</v>
      </c>
      <c r="C6" s="14"/>
      <c r="D6" s="18">
        <v>1115</v>
      </c>
      <c r="E6" s="14"/>
      <c r="F6" s="19" t="s">
        <v>796</v>
      </c>
    </row>
    <row r="7" spans="2:10" x14ac:dyDescent="0.35">
      <c r="J7" s="1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8FD19-5157-47EC-BDB2-077D496C557B}">
  <dimension ref="A1:O33"/>
  <sheetViews>
    <sheetView topLeftCell="E1" workbookViewId="0">
      <selection activeCell="K18" sqref="K18"/>
    </sheetView>
  </sheetViews>
  <sheetFormatPr defaultRowHeight="14.5" x14ac:dyDescent="0.35"/>
  <cols>
    <col min="1" max="1" width="10.7265625" bestFit="1" customWidth="1"/>
    <col min="2" max="2" width="11.54296875" bestFit="1" customWidth="1"/>
    <col min="6" max="6" width="13.90625" bestFit="1" customWidth="1"/>
    <col min="7" max="7" width="11.54296875" bestFit="1" customWidth="1"/>
    <col min="8" max="8" width="12" bestFit="1" customWidth="1"/>
    <col min="9" max="10" width="12" customWidth="1"/>
    <col min="12" max="13" width="11.54296875" bestFit="1" customWidth="1"/>
    <col min="15" max="15" width="17.81640625" customWidth="1"/>
  </cols>
  <sheetData>
    <row r="1" spans="1:15" x14ac:dyDescent="0.35">
      <c r="F1" s="9"/>
      <c r="G1" s="9"/>
      <c r="H1" s="9"/>
      <c r="I1" s="9"/>
      <c r="J1" s="9"/>
      <c r="K1" s="9"/>
      <c r="L1" s="9"/>
    </row>
    <row r="2" spans="1:15" x14ac:dyDescent="0.35">
      <c r="A2" s="10" t="s">
        <v>775</v>
      </c>
      <c r="B2" s="10"/>
      <c r="C2" s="10"/>
      <c r="D2" s="10"/>
      <c r="F2" s="10" t="s">
        <v>776</v>
      </c>
      <c r="G2" s="10"/>
      <c r="H2" s="10"/>
      <c r="I2" s="10"/>
      <c r="J2" s="10"/>
      <c r="K2" s="10"/>
      <c r="L2" s="10" t="s">
        <v>778</v>
      </c>
      <c r="M2" s="10"/>
      <c r="N2" s="10"/>
      <c r="O2" s="10"/>
    </row>
    <row r="4" spans="1:15" x14ac:dyDescent="0.35">
      <c r="A4" s="4" t="s">
        <v>773</v>
      </c>
      <c r="B4" t="s">
        <v>772</v>
      </c>
      <c r="F4" s="4" t="s">
        <v>13</v>
      </c>
      <c r="G4" t="s">
        <v>772</v>
      </c>
      <c r="H4" t="s">
        <v>774</v>
      </c>
      <c r="L4" s="4" t="s">
        <v>777</v>
      </c>
      <c r="M4" t="s">
        <v>772</v>
      </c>
    </row>
    <row r="5" spans="1:15" x14ac:dyDescent="0.35">
      <c r="A5" s="5" t="s">
        <v>68</v>
      </c>
      <c r="B5" s="11">
        <v>52829.339999999989</v>
      </c>
      <c r="F5" s="5" t="s">
        <v>37</v>
      </c>
      <c r="G5" s="11">
        <v>82138.139999999985</v>
      </c>
      <c r="H5" s="11">
        <v>4826.5900000000011</v>
      </c>
      <c r="L5" s="5" t="s">
        <v>67</v>
      </c>
      <c r="M5" s="11">
        <v>68304.050000000032</v>
      </c>
    </row>
    <row r="6" spans="1:15" x14ac:dyDescent="0.35">
      <c r="A6" s="5" t="s">
        <v>25</v>
      </c>
      <c r="B6" s="11">
        <v>53139.570000000014</v>
      </c>
      <c r="F6" s="5" t="s">
        <v>27</v>
      </c>
      <c r="G6" s="11">
        <v>65671.380000000019</v>
      </c>
      <c r="H6" s="11">
        <v>4162.3799999999992</v>
      </c>
      <c r="L6" s="5" t="s">
        <v>34</v>
      </c>
      <c r="M6" s="11">
        <v>67820.50999999998</v>
      </c>
    </row>
    <row r="7" spans="1:15" x14ac:dyDescent="0.35">
      <c r="A7" s="5" t="s">
        <v>35</v>
      </c>
      <c r="B7" s="11">
        <v>55317.47</v>
      </c>
      <c r="F7" s="5" t="s">
        <v>61</v>
      </c>
      <c r="G7" s="11">
        <v>59004.429999999986</v>
      </c>
      <c r="H7" s="11">
        <v>4053.5399999999991</v>
      </c>
      <c r="L7" s="5" t="s">
        <v>24</v>
      </c>
      <c r="M7" s="11">
        <v>70689.390000000014</v>
      </c>
    </row>
    <row r="8" spans="1:15" x14ac:dyDescent="0.35">
      <c r="A8" s="5" t="s">
        <v>47</v>
      </c>
      <c r="B8" s="11">
        <v>45527.57</v>
      </c>
      <c r="F8" s="5" t="s">
        <v>771</v>
      </c>
      <c r="G8" s="11">
        <v>206813.95</v>
      </c>
      <c r="H8" s="11">
        <v>13042.51</v>
      </c>
      <c r="L8" s="5" t="s">
        <v>771</v>
      </c>
      <c r="M8" s="11">
        <v>206813.95</v>
      </c>
    </row>
    <row r="9" spans="1:15" x14ac:dyDescent="0.35">
      <c r="A9" s="5" t="s">
        <v>771</v>
      </c>
      <c r="B9" s="11">
        <v>206813.95</v>
      </c>
    </row>
    <row r="12" spans="1:15" x14ac:dyDescent="0.35">
      <c r="F12" s="4" t="s">
        <v>798</v>
      </c>
      <c r="G12" t="s">
        <v>772</v>
      </c>
    </row>
    <row r="13" spans="1:15" x14ac:dyDescent="0.35">
      <c r="F13" s="5" t="s">
        <v>799</v>
      </c>
      <c r="G13" s="11">
        <v>143218.20000000001</v>
      </c>
    </row>
    <row r="14" spans="1:15" x14ac:dyDescent="0.35">
      <c r="F14" s="20" t="s">
        <v>801</v>
      </c>
      <c r="G14" s="11">
        <v>8106.39</v>
      </c>
    </row>
    <row r="15" spans="1:15" x14ac:dyDescent="0.35">
      <c r="F15" s="20" t="s">
        <v>802</v>
      </c>
      <c r="G15" s="11">
        <v>12580.230000000003</v>
      </c>
    </row>
    <row r="16" spans="1:15" x14ac:dyDescent="0.35">
      <c r="F16" s="20" t="s">
        <v>803</v>
      </c>
      <c r="G16" s="11">
        <v>10544.57</v>
      </c>
    </row>
    <row r="17" spans="6:7" x14ac:dyDescent="0.35">
      <c r="F17" s="20" t="s">
        <v>804</v>
      </c>
      <c r="G17" s="11">
        <v>18183</v>
      </c>
    </row>
    <row r="18" spans="6:7" x14ac:dyDescent="0.35">
      <c r="F18" s="20" t="s">
        <v>805</v>
      </c>
      <c r="G18" s="11">
        <v>18673.180000000004</v>
      </c>
    </row>
    <row r="19" spans="6:7" x14ac:dyDescent="0.35">
      <c r="F19" s="20" t="s">
        <v>806</v>
      </c>
      <c r="G19" s="11">
        <v>15595.700000000003</v>
      </c>
    </row>
    <row r="20" spans="6:7" x14ac:dyDescent="0.35">
      <c r="F20" s="20" t="s">
        <v>807</v>
      </c>
      <c r="G20" s="11">
        <v>11350.509999999998</v>
      </c>
    </row>
    <row r="21" spans="6:7" x14ac:dyDescent="0.35">
      <c r="F21" s="20" t="s">
        <v>808</v>
      </c>
      <c r="G21" s="11">
        <v>10011.199999999999</v>
      </c>
    </row>
    <row r="22" spans="6:7" x14ac:dyDescent="0.35">
      <c r="F22" s="20" t="s">
        <v>809</v>
      </c>
      <c r="G22" s="11">
        <v>7165.99</v>
      </c>
    </row>
    <row r="23" spans="6:7" x14ac:dyDescent="0.35">
      <c r="F23" s="20" t="s">
        <v>810</v>
      </c>
      <c r="G23" s="11">
        <v>11558.320000000002</v>
      </c>
    </row>
    <row r="24" spans="6:7" x14ac:dyDescent="0.35">
      <c r="F24" s="20" t="s">
        <v>811</v>
      </c>
      <c r="G24" s="11">
        <v>15764.199999999999</v>
      </c>
    </row>
    <row r="25" spans="6:7" x14ac:dyDescent="0.35">
      <c r="F25" s="20" t="s">
        <v>812</v>
      </c>
      <c r="G25" s="11">
        <v>3684.91</v>
      </c>
    </row>
    <row r="26" spans="6:7" x14ac:dyDescent="0.35">
      <c r="F26" s="5" t="s">
        <v>800</v>
      </c>
      <c r="G26" s="11">
        <v>63595.75</v>
      </c>
    </row>
    <row r="27" spans="6:7" x14ac:dyDescent="0.35">
      <c r="F27" s="20" t="s">
        <v>801</v>
      </c>
      <c r="G27" s="11">
        <v>7927.170000000001</v>
      </c>
    </row>
    <row r="28" spans="6:7" x14ac:dyDescent="0.35">
      <c r="F28" s="20" t="s">
        <v>802</v>
      </c>
      <c r="G28" s="11">
        <v>16184.039999999999</v>
      </c>
    </row>
    <row r="29" spans="6:7" x14ac:dyDescent="0.35">
      <c r="F29" s="20" t="s">
        <v>803</v>
      </c>
      <c r="G29" s="11">
        <v>8598.02</v>
      </c>
    </row>
    <row r="30" spans="6:7" x14ac:dyDescent="0.35">
      <c r="F30" s="20" t="s">
        <v>804</v>
      </c>
      <c r="G30" s="11">
        <v>13955.94</v>
      </c>
    </row>
    <row r="31" spans="6:7" x14ac:dyDescent="0.35">
      <c r="F31" s="20" t="s">
        <v>805</v>
      </c>
      <c r="G31" s="11">
        <v>12512.039999999999</v>
      </c>
    </row>
    <row r="32" spans="6:7" x14ac:dyDescent="0.35">
      <c r="F32" s="20" t="s">
        <v>806</v>
      </c>
      <c r="G32" s="11">
        <v>4418.54</v>
      </c>
    </row>
    <row r="33" spans="6:7" x14ac:dyDescent="0.35">
      <c r="F33" s="5" t="s">
        <v>771</v>
      </c>
      <c r="G33" s="11">
        <v>206813.95000000004</v>
      </c>
    </row>
  </sheetData>
  <mergeCells count="4">
    <mergeCell ref="F1:L1"/>
    <mergeCell ref="F2:K2"/>
    <mergeCell ref="A2:D2"/>
    <mergeCell ref="L2: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CAF99-0B96-4BAB-923A-33BE27A07232}">
  <sheetPr>
    <pageSetUpPr autoPageBreaks="0"/>
  </sheetPr>
  <dimension ref="A1:T201"/>
  <sheetViews>
    <sheetView topLeftCell="A2" workbookViewId="0">
      <selection activeCell="B35" sqref="B35"/>
    </sheetView>
  </sheetViews>
  <sheetFormatPr defaultRowHeight="14.5" x14ac:dyDescent="0.35"/>
  <cols>
    <col min="1" max="1" width="9.26953125" customWidth="1"/>
    <col min="2" max="2" width="16.08984375" customWidth="1"/>
    <col min="3" max="3" width="13.90625" customWidth="1"/>
    <col min="4" max="4" width="18.36328125" customWidth="1"/>
    <col min="5" max="5" width="18.26953125" customWidth="1"/>
    <col min="6" max="6" width="17.453125" customWidth="1"/>
    <col min="7" max="7" width="17.08984375" customWidth="1"/>
    <col min="8" max="8" width="15.54296875" customWidth="1"/>
    <col min="9" max="9" width="13.81640625" customWidth="1"/>
    <col min="11" max="11" width="13.36328125" customWidth="1"/>
    <col min="13" max="13" width="17.453125" customWidth="1"/>
    <col min="14" max="14" width="13.26953125" customWidth="1"/>
    <col min="15" max="15" width="14.453125" customWidth="1"/>
    <col min="16" max="16" width="18.90625" customWidth="1"/>
    <col min="18" max="19" width="10.2695312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1</v>
      </c>
      <c r="B2" t="s">
        <v>20</v>
      </c>
      <c r="C2" s="1">
        <v>45778</v>
      </c>
      <c r="D2" s="1">
        <v>45783</v>
      </c>
      <c r="E2" t="s">
        <v>21</v>
      </c>
      <c r="F2" t="s">
        <v>22</v>
      </c>
      <c r="G2" t="s">
        <v>23</v>
      </c>
      <c r="H2" t="s">
        <v>24</v>
      </c>
      <c r="I2" t="s">
        <v>749</v>
      </c>
      <c r="J2" t="s">
        <v>755</v>
      </c>
      <c r="K2">
        <v>149273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>
        <v>993.94</v>
      </c>
      <c r="R2">
        <v>4</v>
      </c>
      <c r="S2">
        <v>0.15</v>
      </c>
      <c r="T2">
        <v>347.69</v>
      </c>
    </row>
    <row r="3" spans="1:20" x14ac:dyDescent="0.35">
      <c r="A3">
        <v>2</v>
      </c>
      <c r="B3" t="s">
        <v>30</v>
      </c>
      <c r="C3" s="1">
        <v>45772</v>
      </c>
      <c r="D3" s="1">
        <v>45779</v>
      </c>
      <c r="E3" t="s">
        <v>31</v>
      </c>
      <c r="F3" t="s">
        <v>32</v>
      </c>
      <c r="G3" t="s">
        <v>33</v>
      </c>
      <c r="H3" t="s">
        <v>34</v>
      </c>
      <c r="I3" t="s">
        <v>749</v>
      </c>
      <c r="J3" t="s">
        <v>751</v>
      </c>
      <c r="K3">
        <v>540132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>
        <v>1373.54</v>
      </c>
      <c r="R3">
        <v>4</v>
      </c>
      <c r="S3">
        <v>0.05</v>
      </c>
      <c r="T3">
        <v>-107.08</v>
      </c>
    </row>
    <row r="4" spans="1:20" x14ac:dyDescent="0.35">
      <c r="A4">
        <v>3</v>
      </c>
      <c r="B4" t="s">
        <v>40</v>
      </c>
      <c r="C4" s="1">
        <v>45383</v>
      </c>
      <c r="D4" s="1">
        <v>45387</v>
      </c>
      <c r="E4" t="s">
        <v>21</v>
      </c>
      <c r="F4" t="s">
        <v>22</v>
      </c>
      <c r="G4" t="s">
        <v>41</v>
      </c>
      <c r="H4" t="s">
        <v>24</v>
      </c>
      <c r="I4" t="s">
        <v>749</v>
      </c>
      <c r="J4" t="s">
        <v>752</v>
      </c>
      <c r="K4">
        <v>548691</v>
      </c>
      <c r="L4" t="s">
        <v>25</v>
      </c>
      <c r="M4" t="s">
        <v>42</v>
      </c>
      <c r="N4" t="s">
        <v>27</v>
      </c>
      <c r="O4" t="s">
        <v>28</v>
      </c>
      <c r="P4" t="s">
        <v>43</v>
      </c>
      <c r="Q4">
        <v>862.85</v>
      </c>
      <c r="R4">
        <v>6</v>
      </c>
      <c r="S4">
        <v>0.1</v>
      </c>
      <c r="T4">
        <v>-155.54</v>
      </c>
    </row>
    <row r="5" spans="1:20" x14ac:dyDescent="0.35">
      <c r="A5">
        <v>4</v>
      </c>
      <c r="B5" t="s">
        <v>44</v>
      </c>
      <c r="C5" s="1">
        <v>45520</v>
      </c>
      <c r="D5" s="1">
        <v>45522</v>
      </c>
      <c r="E5" t="s">
        <v>21</v>
      </c>
      <c r="F5" t="s">
        <v>45</v>
      </c>
      <c r="G5" t="s">
        <v>46</v>
      </c>
      <c r="H5" t="s">
        <v>34</v>
      </c>
      <c r="I5" t="s">
        <v>749</v>
      </c>
      <c r="J5" t="s">
        <v>753</v>
      </c>
      <c r="K5">
        <v>458226</v>
      </c>
      <c r="L5" t="s">
        <v>47</v>
      </c>
      <c r="M5" t="s">
        <v>48</v>
      </c>
      <c r="N5" t="s">
        <v>37</v>
      </c>
      <c r="O5" t="s">
        <v>49</v>
      </c>
      <c r="P5" t="s">
        <v>50</v>
      </c>
      <c r="Q5">
        <v>1897.57</v>
      </c>
      <c r="R5">
        <v>7</v>
      </c>
      <c r="S5">
        <v>0.15</v>
      </c>
      <c r="T5">
        <v>-90.96</v>
      </c>
    </row>
    <row r="6" spans="1:20" x14ac:dyDescent="0.35">
      <c r="A6">
        <v>5</v>
      </c>
      <c r="B6" t="s">
        <v>51</v>
      </c>
      <c r="C6" s="1">
        <v>45716</v>
      </c>
      <c r="D6" s="1">
        <v>45723</v>
      </c>
      <c r="E6" t="s">
        <v>52</v>
      </c>
      <c r="F6" t="s">
        <v>32</v>
      </c>
      <c r="G6" t="s">
        <v>53</v>
      </c>
      <c r="H6" t="s">
        <v>34</v>
      </c>
      <c r="I6" t="s">
        <v>749</v>
      </c>
      <c r="J6" t="s">
        <v>754</v>
      </c>
      <c r="K6">
        <v>810712</v>
      </c>
      <c r="L6" t="s">
        <v>25</v>
      </c>
      <c r="M6" t="s">
        <v>54</v>
      </c>
      <c r="N6" t="s">
        <v>37</v>
      </c>
      <c r="O6" t="s">
        <v>55</v>
      </c>
      <c r="P6" t="s">
        <v>56</v>
      </c>
      <c r="Q6">
        <v>1260.76</v>
      </c>
      <c r="R6">
        <v>4</v>
      </c>
      <c r="S6">
        <v>0.1</v>
      </c>
      <c r="T6">
        <v>2.42</v>
      </c>
    </row>
    <row r="7" spans="1:20" x14ac:dyDescent="0.35">
      <c r="A7">
        <v>6</v>
      </c>
      <c r="B7" t="s">
        <v>57</v>
      </c>
      <c r="C7" s="1">
        <v>45337</v>
      </c>
      <c r="D7" s="1">
        <v>45342</v>
      </c>
      <c r="E7" t="s">
        <v>21</v>
      </c>
      <c r="F7" t="s">
        <v>58</v>
      </c>
      <c r="G7" t="s">
        <v>59</v>
      </c>
      <c r="H7" t="s">
        <v>24</v>
      </c>
      <c r="I7" t="s">
        <v>749</v>
      </c>
      <c r="J7" t="s">
        <v>755</v>
      </c>
      <c r="K7">
        <v>467704</v>
      </c>
      <c r="L7" t="s">
        <v>25</v>
      </c>
      <c r="M7" t="s">
        <v>60</v>
      </c>
      <c r="N7" t="s">
        <v>61</v>
      </c>
      <c r="O7" t="s">
        <v>62</v>
      </c>
      <c r="P7" t="s">
        <v>63</v>
      </c>
      <c r="Q7">
        <v>758.09</v>
      </c>
      <c r="R7">
        <v>5</v>
      </c>
      <c r="S7">
        <v>0.05</v>
      </c>
      <c r="T7">
        <v>5.42</v>
      </c>
    </row>
    <row r="8" spans="1:20" x14ac:dyDescent="0.35">
      <c r="A8">
        <v>7</v>
      </c>
      <c r="B8" t="s">
        <v>64</v>
      </c>
      <c r="C8" s="1">
        <v>45449</v>
      </c>
      <c r="D8" s="1">
        <v>45453</v>
      </c>
      <c r="E8" t="s">
        <v>21</v>
      </c>
      <c r="F8" t="s">
        <v>65</v>
      </c>
      <c r="G8" t="s">
        <v>66</v>
      </c>
      <c r="H8" t="s">
        <v>67</v>
      </c>
      <c r="I8" t="s">
        <v>749</v>
      </c>
      <c r="J8" t="s">
        <v>753</v>
      </c>
      <c r="K8">
        <v>796952</v>
      </c>
      <c r="L8" t="s">
        <v>68</v>
      </c>
      <c r="M8" t="s">
        <v>69</v>
      </c>
      <c r="N8" t="s">
        <v>37</v>
      </c>
      <c r="O8" t="s">
        <v>38</v>
      </c>
      <c r="P8" t="s">
        <v>70</v>
      </c>
      <c r="Q8">
        <v>760.78</v>
      </c>
      <c r="R8">
        <v>5</v>
      </c>
      <c r="S8">
        <v>0.1</v>
      </c>
      <c r="T8">
        <v>222.42</v>
      </c>
    </row>
    <row r="9" spans="1:20" x14ac:dyDescent="0.35">
      <c r="A9">
        <v>8</v>
      </c>
      <c r="B9" t="s">
        <v>71</v>
      </c>
      <c r="C9" s="1">
        <v>45402</v>
      </c>
      <c r="D9" s="1">
        <v>45408</v>
      </c>
      <c r="E9" t="s">
        <v>31</v>
      </c>
      <c r="F9" t="s">
        <v>72</v>
      </c>
      <c r="G9" t="s">
        <v>73</v>
      </c>
      <c r="H9" t="s">
        <v>24</v>
      </c>
      <c r="I9" t="s">
        <v>749</v>
      </c>
      <c r="J9" t="s">
        <v>753</v>
      </c>
      <c r="K9">
        <v>369451</v>
      </c>
      <c r="L9" t="s">
        <v>68</v>
      </c>
      <c r="M9" t="s">
        <v>74</v>
      </c>
      <c r="N9" t="s">
        <v>37</v>
      </c>
      <c r="O9" t="s">
        <v>49</v>
      </c>
      <c r="P9" t="s">
        <v>75</v>
      </c>
      <c r="Q9">
        <v>1849.17</v>
      </c>
      <c r="R9">
        <v>9</v>
      </c>
      <c r="S9">
        <v>0</v>
      </c>
      <c r="T9">
        <v>79.88</v>
      </c>
    </row>
    <row r="10" spans="1:20" x14ac:dyDescent="0.35">
      <c r="A10">
        <v>9</v>
      </c>
      <c r="B10" t="s">
        <v>76</v>
      </c>
      <c r="C10" s="1">
        <v>45823</v>
      </c>
      <c r="D10" s="1">
        <v>45826</v>
      </c>
      <c r="E10" t="s">
        <v>31</v>
      </c>
      <c r="F10" t="s">
        <v>77</v>
      </c>
      <c r="G10" t="s">
        <v>78</v>
      </c>
      <c r="H10" t="s">
        <v>67</v>
      </c>
      <c r="I10" t="s">
        <v>749</v>
      </c>
      <c r="J10" t="s">
        <v>753</v>
      </c>
      <c r="K10">
        <v>660243</v>
      </c>
      <c r="L10" t="s">
        <v>35</v>
      </c>
      <c r="M10" t="s">
        <v>79</v>
      </c>
      <c r="N10" t="s">
        <v>27</v>
      </c>
      <c r="O10" t="s">
        <v>28</v>
      </c>
      <c r="P10" t="s">
        <v>80</v>
      </c>
      <c r="Q10">
        <v>1905.62</v>
      </c>
      <c r="R10">
        <v>9</v>
      </c>
      <c r="S10">
        <v>0.1</v>
      </c>
      <c r="T10">
        <v>499.88</v>
      </c>
    </row>
    <row r="11" spans="1:20" x14ac:dyDescent="0.35">
      <c r="A11">
        <v>10</v>
      </c>
      <c r="B11" t="s">
        <v>81</v>
      </c>
      <c r="C11" s="1">
        <v>45694</v>
      </c>
      <c r="D11" s="1">
        <v>45699</v>
      </c>
      <c r="E11" t="s">
        <v>31</v>
      </c>
      <c r="F11" t="s">
        <v>82</v>
      </c>
      <c r="G11" t="s">
        <v>83</v>
      </c>
      <c r="H11" t="s">
        <v>24</v>
      </c>
      <c r="I11" t="s">
        <v>749</v>
      </c>
      <c r="J11" t="s">
        <v>753</v>
      </c>
      <c r="K11">
        <v>624183</v>
      </c>
      <c r="L11" t="s">
        <v>68</v>
      </c>
      <c r="M11" t="s">
        <v>74</v>
      </c>
      <c r="N11" t="s">
        <v>37</v>
      </c>
      <c r="O11" t="s">
        <v>38</v>
      </c>
      <c r="P11" t="s">
        <v>84</v>
      </c>
      <c r="Q11">
        <v>1661.32</v>
      </c>
      <c r="R11">
        <v>1</v>
      </c>
      <c r="S11">
        <v>0.1</v>
      </c>
      <c r="T11">
        <v>-123.19</v>
      </c>
    </row>
    <row r="12" spans="1:20" x14ac:dyDescent="0.35">
      <c r="A12">
        <v>11</v>
      </c>
      <c r="B12" t="s">
        <v>85</v>
      </c>
      <c r="C12" s="1">
        <v>45659</v>
      </c>
      <c r="D12" s="1">
        <v>45662</v>
      </c>
      <c r="E12" t="s">
        <v>31</v>
      </c>
      <c r="F12" t="s">
        <v>86</v>
      </c>
      <c r="G12" t="s">
        <v>87</v>
      </c>
      <c r="H12" t="s">
        <v>24</v>
      </c>
      <c r="I12" t="s">
        <v>749</v>
      </c>
      <c r="J12" t="s">
        <v>754</v>
      </c>
      <c r="K12">
        <v>527500</v>
      </c>
      <c r="L12" t="s">
        <v>68</v>
      </c>
      <c r="M12" t="s">
        <v>88</v>
      </c>
      <c r="N12" t="s">
        <v>27</v>
      </c>
      <c r="O12" t="s">
        <v>28</v>
      </c>
      <c r="P12" t="s">
        <v>89</v>
      </c>
      <c r="Q12">
        <v>1936.07</v>
      </c>
      <c r="R12">
        <v>7</v>
      </c>
      <c r="S12">
        <v>0</v>
      </c>
      <c r="T12">
        <v>532.03</v>
      </c>
    </row>
    <row r="13" spans="1:20" x14ac:dyDescent="0.35">
      <c r="A13">
        <v>12</v>
      </c>
      <c r="B13" t="s">
        <v>90</v>
      </c>
      <c r="C13" s="1">
        <v>45734</v>
      </c>
      <c r="D13" s="1">
        <v>45738</v>
      </c>
      <c r="E13" t="s">
        <v>31</v>
      </c>
      <c r="F13" t="s">
        <v>91</v>
      </c>
      <c r="G13" t="s">
        <v>92</v>
      </c>
      <c r="H13" t="s">
        <v>34</v>
      </c>
      <c r="I13" t="s">
        <v>749</v>
      </c>
      <c r="J13" t="s">
        <v>755</v>
      </c>
      <c r="K13">
        <v>638739</v>
      </c>
      <c r="L13" t="s">
        <v>35</v>
      </c>
      <c r="M13" t="s">
        <v>93</v>
      </c>
      <c r="N13" t="s">
        <v>61</v>
      </c>
      <c r="O13" t="s">
        <v>62</v>
      </c>
      <c r="P13" t="s">
        <v>94</v>
      </c>
      <c r="Q13">
        <v>1724.85</v>
      </c>
      <c r="R13">
        <v>7</v>
      </c>
      <c r="S13">
        <v>0.2</v>
      </c>
      <c r="T13">
        <v>67.61</v>
      </c>
    </row>
    <row r="14" spans="1:20" x14ac:dyDescent="0.35">
      <c r="A14">
        <v>13</v>
      </c>
      <c r="B14" t="s">
        <v>95</v>
      </c>
      <c r="C14" s="1">
        <v>45728</v>
      </c>
      <c r="D14" s="1">
        <v>45729</v>
      </c>
      <c r="E14" t="s">
        <v>52</v>
      </c>
      <c r="F14" t="s">
        <v>96</v>
      </c>
      <c r="G14" t="s">
        <v>97</v>
      </c>
      <c r="H14" t="s">
        <v>24</v>
      </c>
      <c r="I14" t="s">
        <v>749</v>
      </c>
      <c r="J14" t="s">
        <v>753</v>
      </c>
      <c r="K14">
        <v>695964</v>
      </c>
      <c r="L14" t="s">
        <v>35</v>
      </c>
      <c r="M14" t="s">
        <v>98</v>
      </c>
      <c r="N14" t="s">
        <v>61</v>
      </c>
      <c r="O14" t="s">
        <v>99</v>
      </c>
      <c r="P14" t="s">
        <v>100</v>
      </c>
      <c r="Q14">
        <v>418.88</v>
      </c>
      <c r="R14">
        <v>8</v>
      </c>
      <c r="S14">
        <v>0</v>
      </c>
      <c r="T14">
        <v>-28.19</v>
      </c>
    </row>
    <row r="15" spans="1:20" x14ac:dyDescent="0.35">
      <c r="A15">
        <v>14</v>
      </c>
      <c r="B15" t="s">
        <v>101</v>
      </c>
      <c r="C15" s="1">
        <v>45609</v>
      </c>
      <c r="D15" s="1">
        <v>45615</v>
      </c>
      <c r="E15" t="s">
        <v>21</v>
      </c>
      <c r="F15" t="s">
        <v>102</v>
      </c>
      <c r="G15" t="s">
        <v>103</v>
      </c>
      <c r="H15" t="s">
        <v>24</v>
      </c>
      <c r="I15" t="s">
        <v>749</v>
      </c>
      <c r="J15" t="s">
        <v>753</v>
      </c>
      <c r="K15">
        <v>711483</v>
      </c>
      <c r="L15" t="s">
        <v>35</v>
      </c>
      <c r="M15" t="s">
        <v>104</v>
      </c>
      <c r="N15" t="s">
        <v>37</v>
      </c>
      <c r="O15" t="s">
        <v>38</v>
      </c>
      <c r="P15" t="s">
        <v>105</v>
      </c>
      <c r="Q15">
        <v>1393.64</v>
      </c>
      <c r="R15">
        <v>9</v>
      </c>
      <c r="S15">
        <v>0.15</v>
      </c>
      <c r="T15">
        <v>-107.05</v>
      </c>
    </row>
    <row r="16" spans="1:20" x14ac:dyDescent="0.35">
      <c r="A16">
        <v>15</v>
      </c>
      <c r="B16" t="s">
        <v>106</v>
      </c>
      <c r="C16" s="1">
        <v>45323</v>
      </c>
      <c r="D16" s="1">
        <v>45324</v>
      </c>
      <c r="E16" t="s">
        <v>52</v>
      </c>
      <c r="F16" t="s">
        <v>107</v>
      </c>
      <c r="G16" t="s">
        <v>108</v>
      </c>
      <c r="H16" t="s">
        <v>67</v>
      </c>
      <c r="I16" t="s">
        <v>749</v>
      </c>
      <c r="J16" t="s">
        <v>754</v>
      </c>
      <c r="K16">
        <v>767646</v>
      </c>
      <c r="L16" t="s">
        <v>35</v>
      </c>
      <c r="M16" t="s">
        <v>109</v>
      </c>
      <c r="N16" t="s">
        <v>27</v>
      </c>
      <c r="O16" t="s">
        <v>110</v>
      </c>
      <c r="P16" t="s">
        <v>111</v>
      </c>
      <c r="Q16">
        <v>1671.37</v>
      </c>
      <c r="R16">
        <v>5</v>
      </c>
      <c r="S16">
        <v>0.1</v>
      </c>
      <c r="T16">
        <v>127.81</v>
      </c>
    </row>
    <row r="17" spans="1:20" x14ac:dyDescent="0.35">
      <c r="A17">
        <v>16</v>
      </c>
      <c r="B17" t="s">
        <v>112</v>
      </c>
      <c r="C17" s="1">
        <v>45580</v>
      </c>
      <c r="D17" s="1">
        <v>45585</v>
      </c>
      <c r="E17" t="s">
        <v>31</v>
      </c>
      <c r="F17" t="s">
        <v>113</v>
      </c>
      <c r="G17" t="s">
        <v>114</v>
      </c>
      <c r="H17" t="s">
        <v>67</v>
      </c>
      <c r="I17" t="s">
        <v>749</v>
      </c>
      <c r="J17" t="s">
        <v>754</v>
      </c>
      <c r="K17">
        <v>508230</v>
      </c>
      <c r="L17" t="s">
        <v>47</v>
      </c>
      <c r="M17" t="s">
        <v>115</v>
      </c>
      <c r="N17" t="s">
        <v>37</v>
      </c>
      <c r="O17" t="s">
        <v>38</v>
      </c>
      <c r="P17" t="s">
        <v>116</v>
      </c>
      <c r="Q17">
        <v>1382.96</v>
      </c>
      <c r="R17">
        <v>2</v>
      </c>
      <c r="S17">
        <v>0.15</v>
      </c>
      <c r="T17">
        <v>278.02</v>
      </c>
    </row>
    <row r="18" spans="1:20" x14ac:dyDescent="0.35">
      <c r="A18">
        <v>17</v>
      </c>
      <c r="B18" t="s">
        <v>117</v>
      </c>
      <c r="C18" s="1">
        <v>45328</v>
      </c>
      <c r="D18" s="1">
        <v>45335</v>
      </c>
      <c r="E18" t="s">
        <v>52</v>
      </c>
      <c r="F18" t="s">
        <v>86</v>
      </c>
      <c r="G18" t="s">
        <v>118</v>
      </c>
      <c r="H18" t="s">
        <v>34</v>
      </c>
      <c r="I18" t="s">
        <v>749</v>
      </c>
      <c r="J18" t="s">
        <v>754</v>
      </c>
      <c r="K18">
        <v>329182</v>
      </c>
      <c r="L18" t="s">
        <v>68</v>
      </c>
      <c r="M18" t="s">
        <v>74</v>
      </c>
      <c r="N18" t="s">
        <v>61</v>
      </c>
      <c r="O18" t="s">
        <v>99</v>
      </c>
      <c r="P18" t="s">
        <v>119</v>
      </c>
      <c r="Q18">
        <v>272.97000000000003</v>
      </c>
      <c r="R18">
        <v>8</v>
      </c>
      <c r="S18">
        <v>0</v>
      </c>
      <c r="T18">
        <v>-51.52</v>
      </c>
    </row>
    <row r="19" spans="1:20" x14ac:dyDescent="0.35">
      <c r="A19">
        <v>18</v>
      </c>
      <c r="B19" t="s">
        <v>120</v>
      </c>
      <c r="C19" s="1">
        <v>45545</v>
      </c>
      <c r="D19" s="1">
        <v>45551</v>
      </c>
      <c r="E19" t="s">
        <v>21</v>
      </c>
      <c r="F19" t="s">
        <v>121</v>
      </c>
      <c r="G19" t="s">
        <v>122</v>
      </c>
      <c r="H19" t="s">
        <v>67</v>
      </c>
      <c r="I19" t="s">
        <v>749</v>
      </c>
      <c r="J19" t="s">
        <v>754</v>
      </c>
      <c r="K19">
        <v>949958</v>
      </c>
      <c r="L19" t="s">
        <v>25</v>
      </c>
      <c r="M19" t="s">
        <v>123</v>
      </c>
      <c r="N19" t="s">
        <v>61</v>
      </c>
      <c r="O19" t="s">
        <v>99</v>
      </c>
      <c r="P19" t="s">
        <v>124</v>
      </c>
      <c r="Q19">
        <v>133.47</v>
      </c>
      <c r="R19">
        <v>5</v>
      </c>
      <c r="S19">
        <v>0.3</v>
      </c>
      <c r="T19">
        <v>11.66</v>
      </c>
    </row>
    <row r="20" spans="1:20" x14ac:dyDescent="0.35">
      <c r="A20">
        <v>19</v>
      </c>
      <c r="B20" t="s">
        <v>125</v>
      </c>
      <c r="C20" s="1">
        <v>45430</v>
      </c>
      <c r="D20" s="1">
        <v>45436</v>
      </c>
      <c r="E20" t="s">
        <v>21</v>
      </c>
      <c r="F20" t="s">
        <v>126</v>
      </c>
      <c r="G20" t="s">
        <v>127</v>
      </c>
      <c r="H20" t="s">
        <v>24</v>
      </c>
      <c r="I20" t="s">
        <v>749</v>
      </c>
      <c r="J20" t="s">
        <v>755</v>
      </c>
      <c r="K20">
        <v>784031</v>
      </c>
      <c r="L20" t="s">
        <v>25</v>
      </c>
      <c r="M20" t="s">
        <v>128</v>
      </c>
      <c r="N20" t="s">
        <v>37</v>
      </c>
      <c r="O20" t="s">
        <v>49</v>
      </c>
      <c r="P20" t="s">
        <v>129</v>
      </c>
      <c r="Q20">
        <v>1286.27</v>
      </c>
      <c r="R20">
        <v>9</v>
      </c>
      <c r="S20">
        <v>0.15</v>
      </c>
      <c r="T20">
        <v>-121.66</v>
      </c>
    </row>
    <row r="21" spans="1:20" x14ac:dyDescent="0.35">
      <c r="A21">
        <v>20</v>
      </c>
      <c r="B21" t="s">
        <v>130</v>
      </c>
      <c r="C21" s="1">
        <v>45775</v>
      </c>
      <c r="D21" s="1">
        <v>45782</v>
      </c>
      <c r="E21" t="s">
        <v>52</v>
      </c>
      <c r="F21" t="s">
        <v>131</v>
      </c>
      <c r="G21" t="s">
        <v>132</v>
      </c>
      <c r="H21" t="s">
        <v>24</v>
      </c>
      <c r="I21" t="s">
        <v>749</v>
      </c>
      <c r="J21" t="s">
        <v>755</v>
      </c>
      <c r="K21">
        <v>404202</v>
      </c>
      <c r="L21" t="s">
        <v>25</v>
      </c>
      <c r="M21" t="s">
        <v>133</v>
      </c>
      <c r="N21" t="s">
        <v>27</v>
      </c>
      <c r="O21" t="s">
        <v>28</v>
      </c>
      <c r="P21" t="s">
        <v>134</v>
      </c>
      <c r="Q21">
        <v>407.94</v>
      </c>
      <c r="R21">
        <v>9</v>
      </c>
      <c r="S21">
        <v>0.2</v>
      </c>
      <c r="T21">
        <v>-27.65</v>
      </c>
    </row>
    <row r="22" spans="1:20" x14ac:dyDescent="0.35">
      <c r="A22">
        <v>21</v>
      </c>
      <c r="B22" t="s">
        <v>135</v>
      </c>
      <c r="C22" s="1">
        <v>45469</v>
      </c>
      <c r="D22" s="1">
        <v>45471</v>
      </c>
      <c r="E22" t="s">
        <v>31</v>
      </c>
      <c r="F22" t="s">
        <v>136</v>
      </c>
      <c r="G22" t="s">
        <v>137</v>
      </c>
      <c r="H22" t="s">
        <v>67</v>
      </c>
      <c r="I22" t="s">
        <v>749</v>
      </c>
      <c r="J22" t="s">
        <v>755</v>
      </c>
      <c r="K22">
        <v>806759</v>
      </c>
      <c r="L22" t="s">
        <v>25</v>
      </c>
      <c r="M22" t="s">
        <v>48</v>
      </c>
      <c r="N22" t="s">
        <v>61</v>
      </c>
      <c r="O22" t="s">
        <v>62</v>
      </c>
      <c r="P22" t="s">
        <v>138</v>
      </c>
      <c r="Q22">
        <v>1440.74</v>
      </c>
      <c r="R22">
        <v>4</v>
      </c>
      <c r="S22">
        <v>0.15</v>
      </c>
      <c r="T22">
        <v>2.4700000000000002</v>
      </c>
    </row>
    <row r="23" spans="1:20" x14ac:dyDescent="0.35">
      <c r="A23">
        <v>22</v>
      </c>
      <c r="B23" t="s">
        <v>139</v>
      </c>
      <c r="C23" s="1">
        <v>45690</v>
      </c>
      <c r="D23" s="1">
        <v>45693</v>
      </c>
      <c r="E23" t="s">
        <v>31</v>
      </c>
      <c r="F23" t="s">
        <v>140</v>
      </c>
      <c r="G23" t="s">
        <v>141</v>
      </c>
      <c r="H23" t="s">
        <v>24</v>
      </c>
      <c r="I23" t="s">
        <v>749</v>
      </c>
      <c r="J23" t="s">
        <v>755</v>
      </c>
      <c r="K23">
        <v>891638</v>
      </c>
      <c r="L23" t="s">
        <v>35</v>
      </c>
      <c r="M23" t="s">
        <v>142</v>
      </c>
      <c r="N23" t="s">
        <v>27</v>
      </c>
      <c r="O23" t="s">
        <v>110</v>
      </c>
      <c r="P23" t="s">
        <v>143</v>
      </c>
      <c r="Q23">
        <v>1820.02</v>
      </c>
      <c r="R23">
        <v>6</v>
      </c>
      <c r="S23">
        <v>0</v>
      </c>
      <c r="T23">
        <v>-355.36</v>
      </c>
    </row>
    <row r="24" spans="1:20" x14ac:dyDescent="0.35">
      <c r="A24">
        <v>23</v>
      </c>
      <c r="B24" t="s">
        <v>144</v>
      </c>
      <c r="C24" s="1">
        <v>45331</v>
      </c>
      <c r="D24" s="1">
        <v>45332</v>
      </c>
      <c r="E24" t="s">
        <v>21</v>
      </c>
      <c r="F24" t="s">
        <v>145</v>
      </c>
      <c r="G24" t="s">
        <v>146</v>
      </c>
      <c r="H24" t="s">
        <v>67</v>
      </c>
      <c r="I24" t="s">
        <v>749</v>
      </c>
      <c r="J24" t="s">
        <v>755</v>
      </c>
      <c r="K24">
        <v>556568</v>
      </c>
      <c r="L24" t="s">
        <v>35</v>
      </c>
      <c r="M24" t="s">
        <v>147</v>
      </c>
      <c r="N24" t="s">
        <v>61</v>
      </c>
      <c r="O24" t="s">
        <v>148</v>
      </c>
      <c r="P24" t="s">
        <v>149</v>
      </c>
      <c r="Q24">
        <v>658.05</v>
      </c>
      <c r="R24">
        <v>1</v>
      </c>
      <c r="S24">
        <v>0.2</v>
      </c>
      <c r="T24">
        <v>-102.91</v>
      </c>
    </row>
    <row r="25" spans="1:20" x14ac:dyDescent="0.35">
      <c r="A25">
        <v>24</v>
      </c>
      <c r="B25" t="s">
        <v>150</v>
      </c>
      <c r="C25" s="1">
        <v>45753</v>
      </c>
      <c r="D25" s="1">
        <v>45759</v>
      </c>
      <c r="E25" t="s">
        <v>31</v>
      </c>
      <c r="F25" t="s">
        <v>151</v>
      </c>
      <c r="G25" t="s">
        <v>152</v>
      </c>
      <c r="H25" t="s">
        <v>24</v>
      </c>
      <c r="I25" t="s">
        <v>749</v>
      </c>
      <c r="J25" t="s">
        <v>755</v>
      </c>
      <c r="K25">
        <v>134722</v>
      </c>
      <c r="L25" t="s">
        <v>47</v>
      </c>
      <c r="M25" t="s">
        <v>153</v>
      </c>
      <c r="N25" t="s">
        <v>61</v>
      </c>
      <c r="O25" t="s">
        <v>148</v>
      </c>
      <c r="P25" t="s">
        <v>154</v>
      </c>
      <c r="Q25">
        <v>1529.17</v>
      </c>
      <c r="R25">
        <v>9</v>
      </c>
      <c r="S25">
        <v>0.1</v>
      </c>
      <c r="T25">
        <v>309.33999999999997</v>
      </c>
    </row>
    <row r="26" spans="1:20" x14ac:dyDescent="0.35">
      <c r="A26">
        <v>25</v>
      </c>
      <c r="B26" t="s">
        <v>155</v>
      </c>
      <c r="C26" s="1">
        <v>45480</v>
      </c>
      <c r="D26" s="1">
        <v>45482</v>
      </c>
      <c r="E26" t="s">
        <v>52</v>
      </c>
      <c r="F26" t="s">
        <v>156</v>
      </c>
      <c r="G26" t="s">
        <v>157</v>
      </c>
      <c r="H26" t="s">
        <v>34</v>
      </c>
      <c r="I26" t="s">
        <v>749</v>
      </c>
      <c r="J26" t="s">
        <v>755</v>
      </c>
      <c r="K26">
        <v>659091</v>
      </c>
      <c r="L26" t="s">
        <v>25</v>
      </c>
      <c r="M26" t="s">
        <v>128</v>
      </c>
      <c r="N26" t="s">
        <v>27</v>
      </c>
      <c r="O26" t="s">
        <v>158</v>
      </c>
      <c r="P26" t="s">
        <v>159</v>
      </c>
      <c r="Q26">
        <v>102.67</v>
      </c>
      <c r="R26">
        <v>5</v>
      </c>
      <c r="S26">
        <v>0.1</v>
      </c>
      <c r="T26">
        <v>-10.48</v>
      </c>
    </row>
    <row r="27" spans="1:20" x14ac:dyDescent="0.35">
      <c r="A27">
        <v>26</v>
      </c>
      <c r="B27" t="s">
        <v>160</v>
      </c>
      <c r="C27" s="1">
        <v>45604</v>
      </c>
      <c r="D27" s="1">
        <v>45608</v>
      </c>
      <c r="E27" t="s">
        <v>31</v>
      </c>
      <c r="F27" t="s">
        <v>161</v>
      </c>
      <c r="G27" t="s">
        <v>162</v>
      </c>
      <c r="H27" t="s">
        <v>34</v>
      </c>
      <c r="I27" t="s">
        <v>749</v>
      </c>
      <c r="J27" t="s">
        <v>755</v>
      </c>
      <c r="K27">
        <v>312826</v>
      </c>
      <c r="L27" t="s">
        <v>47</v>
      </c>
      <c r="M27" t="s">
        <v>115</v>
      </c>
      <c r="N27" t="s">
        <v>27</v>
      </c>
      <c r="O27" t="s">
        <v>110</v>
      </c>
      <c r="P27" t="s">
        <v>163</v>
      </c>
      <c r="Q27">
        <v>1963.45</v>
      </c>
      <c r="R27">
        <v>10</v>
      </c>
      <c r="S27">
        <v>0.2</v>
      </c>
      <c r="T27">
        <v>214.94</v>
      </c>
    </row>
    <row r="28" spans="1:20" x14ac:dyDescent="0.35">
      <c r="A28">
        <v>27</v>
      </c>
      <c r="B28" t="s">
        <v>164</v>
      </c>
      <c r="C28" s="1">
        <v>45387</v>
      </c>
      <c r="D28" s="1">
        <v>45389</v>
      </c>
      <c r="E28" t="s">
        <v>21</v>
      </c>
      <c r="F28" t="s">
        <v>165</v>
      </c>
      <c r="G28" t="s">
        <v>166</v>
      </c>
      <c r="H28" t="s">
        <v>67</v>
      </c>
      <c r="I28" t="s">
        <v>749</v>
      </c>
      <c r="J28" t="s">
        <v>754</v>
      </c>
      <c r="K28">
        <v>510166</v>
      </c>
      <c r="L28" t="s">
        <v>68</v>
      </c>
      <c r="M28" t="s">
        <v>167</v>
      </c>
      <c r="N28" t="s">
        <v>27</v>
      </c>
      <c r="O28" t="s">
        <v>110</v>
      </c>
      <c r="P28" t="s">
        <v>168</v>
      </c>
      <c r="Q28">
        <v>1159.5</v>
      </c>
      <c r="R28">
        <v>3</v>
      </c>
      <c r="S28">
        <v>0.1</v>
      </c>
      <c r="T28">
        <v>163.81</v>
      </c>
    </row>
    <row r="29" spans="1:20" x14ac:dyDescent="0.35">
      <c r="A29">
        <v>28</v>
      </c>
      <c r="B29" t="s">
        <v>169</v>
      </c>
      <c r="C29" s="1">
        <v>45487</v>
      </c>
      <c r="D29" s="1">
        <v>45490</v>
      </c>
      <c r="E29" t="s">
        <v>31</v>
      </c>
      <c r="F29" t="s">
        <v>170</v>
      </c>
      <c r="G29" t="s">
        <v>171</v>
      </c>
      <c r="H29" t="s">
        <v>67</v>
      </c>
      <c r="I29" t="s">
        <v>749</v>
      </c>
      <c r="J29" t="s">
        <v>754</v>
      </c>
      <c r="K29">
        <v>706442</v>
      </c>
      <c r="L29" t="s">
        <v>25</v>
      </c>
      <c r="M29" t="s">
        <v>172</v>
      </c>
      <c r="N29" t="s">
        <v>37</v>
      </c>
      <c r="O29" t="s">
        <v>49</v>
      </c>
      <c r="P29" t="s">
        <v>129</v>
      </c>
      <c r="Q29">
        <v>1138.08</v>
      </c>
      <c r="R29">
        <v>5</v>
      </c>
      <c r="S29">
        <v>0.3</v>
      </c>
      <c r="T29">
        <v>159.04</v>
      </c>
    </row>
    <row r="30" spans="1:20" x14ac:dyDescent="0.35">
      <c r="A30">
        <v>29</v>
      </c>
      <c r="B30" t="s">
        <v>173</v>
      </c>
      <c r="C30" s="1">
        <v>45434</v>
      </c>
      <c r="D30" s="1">
        <v>45436</v>
      </c>
      <c r="E30" t="s">
        <v>21</v>
      </c>
      <c r="F30" t="s">
        <v>174</v>
      </c>
      <c r="G30" t="s">
        <v>175</v>
      </c>
      <c r="H30" t="s">
        <v>34</v>
      </c>
      <c r="I30" t="s">
        <v>749</v>
      </c>
      <c r="J30" t="s">
        <v>754</v>
      </c>
      <c r="K30">
        <v>263962</v>
      </c>
      <c r="L30" t="s">
        <v>68</v>
      </c>
      <c r="M30" t="s">
        <v>176</v>
      </c>
      <c r="N30" t="s">
        <v>61</v>
      </c>
      <c r="O30" t="s">
        <v>62</v>
      </c>
      <c r="P30" t="s">
        <v>177</v>
      </c>
      <c r="Q30">
        <v>1937.73</v>
      </c>
      <c r="R30">
        <v>8</v>
      </c>
      <c r="S30">
        <v>0.3</v>
      </c>
      <c r="T30">
        <v>190.75</v>
      </c>
    </row>
    <row r="31" spans="1:20" x14ac:dyDescent="0.35">
      <c r="A31">
        <v>30</v>
      </c>
      <c r="B31" t="s">
        <v>178</v>
      </c>
      <c r="C31" s="1">
        <v>45766</v>
      </c>
      <c r="D31" s="1">
        <v>45770</v>
      </c>
      <c r="E31" t="s">
        <v>52</v>
      </c>
      <c r="F31" t="s">
        <v>179</v>
      </c>
      <c r="G31" t="s">
        <v>180</v>
      </c>
      <c r="H31" t="s">
        <v>24</v>
      </c>
      <c r="I31" t="s">
        <v>749</v>
      </c>
      <c r="J31" t="s">
        <v>755</v>
      </c>
      <c r="K31">
        <v>549261</v>
      </c>
      <c r="L31" t="s">
        <v>68</v>
      </c>
      <c r="M31" t="s">
        <v>26</v>
      </c>
      <c r="N31" t="s">
        <v>27</v>
      </c>
      <c r="O31" t="s">
        <v>158</v>
      </c>
      <c r="P31" t="s">
        <v>181</v>
      </c>
      <c r="Q31">
        <v>255.02</v>
      </c>
      <c r="R31">
        <v>8</v>
      </c>
      <c r="S31">
        <v>0.2</v>
      </c>
      <c r="T31">
        <v>32.44</v>
      </c>
    </row>
    <row r="32" spans="1:20" x14ac:dyDescent="0.35">
      <c r="A32">
        <v>31</v>
      </c>
      <c r="B32" t="s">
        <v>182</v>
      </c>
      <c r="C32" s="1">
        <v>45603</v>
      </c>
      <c r="D32" s="1">
        <v>45606</v>
      </c>
      <c r="E32" t="s">
        <v>31</v>
      </c>
      <c r="F32" t="s">
        <v>183</v>
      </c>
      <c r="G32" t="s">
        <v>184</v>
      </c>
      <c r="H32" t="s">
        <v>67</v>
      </c>
      <c r="I32" t="s">
        <v>749</v>
      </c>
      <c r="J32" t="s">
        <v>755</v>
      </c>
      <c r="K32">
        <v>765784</v>
      </c>
      <c r="L32" t="s">
        <v>35</v>
      </c>
      <c r="M32" t="s">
        <v>185</v>
      </c>
      <c r="N32" t="s">
        <v>37</v>
      </c>
      <c r="O32" t="s">
        <v>49</v>
      </c>
      <c r="P32" t="s">
        <v>186</v>
      </c>
      <c r="Q32">
        <v>1114.2</v>
      </c>
      <c r="R32">
        <v>5</v>
      </c>
      <c r="S32">
        <v>0.05</v>
      </c>
      <c r="T32">
        <v>-9.18</v>
      </c>
    </row>
    <row r="33" spans="1:20" x14ac:dyDescent="0.35">
      <c r="A33">
        <v>32</v>
      </c>
      <c r="B33" t="s">
        <v>187</v>
      </c>
      <c r="C33" s="1">
        <v>45605</v>
      </c>
      <c r="D33" s="1">
        <v>45612</v>
      </c>
      <c r="E33" t="s">
        <v>31</v>
      </c>
      <c r="F33" t="s">
        <v>45</v>
      </c>
      <c r="G33" t="s">
        <v>188</v>
      </c>
      <c r="H33" t="s">
        <v>24</v>
      </c>
      <c r="I33" t="s">
        <v>749</v>
      </c>
      <c r="J33" t="s">
        <v>755</v>
      </c>
      <c r="K33">
        <v>596759</v>
      </c>
      <c r="L33" t="s">
        <v>47</v>
      </c>
      <c r="M33" t="s">
        <v>189</v>
      </c>
      <c r="N33" t="s">
        <v>61</v>
      </c>
      <c r="O33" t="s">
        <v>99</v>
      </c>
      <c r="P33" t="s">
        <v>190</v>
      </c>
      <c r="Q33">
        <v>83.6</v>
      </c>
      <c r="R33">
        <v>9</v>
      </c>
      <c r="S33">
        <v>0.05</v>
      </c>
      <c r="T33">
        <v>-16.5</v>
      </c>
    </row>
    <row r="34" spans="1:20" x14ac:dyDescent="0.35">
      <c r="A34">
        <v>33</v>
      </c>
      <c r="B34" t="s">
        <v>191</v>
      </c>
      <c r="C34" s="1">
        <v>45701</v>
      </c>
      <c r="D34" s="1">
        <v>45704</v>
      </c>
      <c r="E34" t="s">
        <v>21</v>
      </c>
      <c r="F34" t="s">
        <v>131</v>
      </c>
      <c r="G34" t="s">
        <v>192</v>
      </c>
      <c r="H34" t="s">
        <v>24</v>
      </c>
      <c r="I34" t="s">
        <v>749</v>
      </c>
      <c r="J34" t="s">
        <v>755</v>
      </c>
      <c r="K34">
        <v>595330</v>
      </c>
      <c r="L34" t="s">
        <v>25</v>
      </c>
      <c r="M34" t="s">
        <v>193</v>
      </c>
      <c r="N34" t="s">
        <v>37</v>
      </c>
      <c r="O34" t="s">
        <v>55</v>
      </c>
      <c r="P34" t="s">
        <v>194</v>
      </c>
      <c r="Q34">
        <v>1937.72</v>
      </c>
      <c r="R34">
        <v>10</v>
      </c>
      <c r="S34">
        <v>0</v>
      </c>
      <c r="T34">
        <v>-154.71</v>
      </c>
    </row>
    <row r="35" spans="1:20" x14ac:dyDescent="0.35">
      <c r="A35">
        <v>34</v>
      </c>
      <c r="B35" t="s">
        <v>195</v>
      </c>
      <c r="C35" s="1">
        <v>45785</v>
      </c>
      <c r="D35" s="1">
        <v>45791</v>
      </c>
      <c r="E35" t="s">
        <v>52</v>
      </c>
      <c r="F35" t="s">
        <v>196</v>
      </c>
      <c r="G35" t="s">
        <v>197</v>
      </c>
      <c r="H35" t="s">
        <v>67</v>
      </c>
      <c r="I35" t="s">
        <v>749</v>
      </c>
      <c r="J35" t="s">
        <v>753</v>
      </c>
      <c r="K35">
        <v>862448</v>
      </c>
      <c r="L35" t="s">
        <v>47</v>
      </c>
      <c r="M35" t="s">
        <v>167</v>
      </c>
      <c r="N35" t="s">
        <v>61</v>
      </c>
      <c r="O35" t="s">
        <v>99</v>
      </c>
      <c r="P35" t="s">
        <v>198</v>
      </c>
      <c r="Q35">
        <v>1642.84</v>
      </c>
      <c r="R35">
        <v>10</v>
      </c>
      <c r="S35">
        <v>0</v>
      </c>
      <c r="T35">
        <v>468.21</v>
      </c>
    </row>
    <row r="36" spans="1:20" x14ac:dyDescent="0.35">
      <c r="A36">
        <v>35</v>
      </c>
      <c r="B36" t="s">
        <v>199</v>
      </c>
      <c r="C36" s="1">
        <v>45400</v>
      </c>
      <c r="D36" s="1">
        <v>45407</v>
      </c>
      <c r="E36" t="s">
        <v>52</v>
      </c>
      <c r="F36" t="s">
        <v>200</v>
      </c>
      <c r="G36" t="s">
        <v>201</v>
      </c>
      <c r="H36" t="s">
        <v>67</v>
      </c>
      <c r="I36" t="s">
        <v>749</v>
      </c>
      <c r="J36" t="s">
        <v>753</v>
      </c>
      <c r="K36">
        <v>165703</v>
      </c>
      <c r="L36" t="s">
        <v>68</v>
      </c>
      <c r="M36" t="s">
        <v>202</v>
      </c>
      <c r="N36" t="s">
        <v>37</v>
      </c>
      <c r="O36" t="s">
        <v>49</v>
      </c>
      <c r="P36" t="s">
        <v>203</v>
      </c>
      <c r="Q36">
        <v>1911.18</v>
      </c>
      <c r="R36">
        <v>5</v>
      </c>
      <c r="S36">
        <v>0.1</v>
      </c>
      <c r="T36">
        <v>-67.09</v>
      </c>
    </row>
    <row r="37" spans="1:20" x14ac:dyDescent="0.35">
      <c r="A37">
        <v>36</v>
      </c>
      <c r="B37" t="s">
        <v>204</v>
      </c>
      <c r="C37" s="1">
        <v>45362</v>
      </c>
      <c r="D37" s="1">
        <v>45363</v>
      </c>
      <c r="E37" t="s">
        <v>31</v>
      </c>
      <c r="F37" t="s">
        <v>205</v>
      </c>
      <c r="G37" t="s">
        <v>206</v>
      </c>
      <c r="H37" t="s">
        <v>67</v>
      </c>
      <c r="I37" t="s">
        <v>749</v>
      </c>
      <c r="J37" t="s">
        <v>753</v>
      </c>
      <c r="K37">
        <v>505167</v>
      </c>
      <c r="L37" t="s">
        <v>35</v>
      </c>
      <c r="M37" t="s">
        <v>153</v>
      </c>
      <c r="N37" t="s">
        <v>61</v>
      </c>
      <c r="O37" t="s">
        <v>99</v>
      </c>
      <c r="P37" t="s">
        <v>198</v>
      </c>
      <c r="Q37">
        <v>1766.19</v>
      </c>
      <c r="R37">
        <v>4</v>
      </c>
      <c r="S37">
        <v>0.05</v>
      </c>
      <c r="T37">
        <v>-16.89</v>
      </c>
    </row>
    <row r="38" spans="1:20" x14ac:dyDescent="0.35">
      <c r="A38">
        <v>37</v>
      </c>
      <c r="B38" t="s">
        <v>207</v>
      </c>
      <c r="C38" s="1">
        <v>45508</v>
      </c>
      <c r="D38" s="1">
        <v>45511</v>
      </c>
      <c r="E38" t="s">
        <v>52</v>
      </c>
      <c r="F38" t="s">
        <v>208</v>
      </c>
      <c r="G38" t="s">
        <v>209</v>
      </c>
      <c r="H38" t="s">
        <v>34</v>
      </c>
      <c r="I38" t="s">
        <v>749</v>
      </c>
      <c r="J38" t="s">
        <v>753</v>
      </c>
      <c r="K38">
        <v>101275</v>
      </c>
      <c r="L38" t="s">
        <v>25</v>
      </c>
      <c r="M38" t="s">
        <v>54</v>
      </c>
      <c r="N38" t="s">
        <v>37</v>
      </c>
      <c r="O38" t="s">
        <v>38</v>
      </c>
      <c r="P38" t="s">
        <v>210</v>
      </c>
      <c r="Q38">
        <v>1140.99</v>
      </c>
      <c r="R38">
        <v>6</v>
      </c>
      <c r="S38">
        <v>0.3</v>
      </c>
      <c r="T38">
        <v>28.28</v>
      </c>
    </row>
    <row r="39" spans="1:20" x14ac:dyDescent="0.35">
      <c r="A39">
        <v>38</v>
      </c>
      <c r="B39" t="s">
        <v>211</v>
      </c>
      <c r="C39" s="1">
        <v>45541</v>
      </c>
      <c r="D39" s="1">
        <v>45546</v>
      </c>
      <c r="E39" t="s">
        <v>31</v>
      </c>
      <c r="F39" t="s">
        <v>212</v>
      </c>
      <c r="G39" t="s">
        <v>213</v>
      </c>
      <c r="H39" t="s">
        <v>67</v>
      </c>
      <c r="I39" t="s">
        <v>749</v>
      </c>
      <c r="J39" t="s">
        <v>753</v>
      </c>
      <c r="K39">
        <v>908504</v>
      </c>
      <c r="L39" t="s">
        <v>35</v>
      </c>
      <c r="M39" t="s">
        <v>214</v>
      </c>
      <c r="N39" t="s">
        <v>27</v>
      </c>
      <c r="O39" t="s">
        <v>28</v>
      </c>
      <c r="P39" t="s">
        <v>134</v>
      </c>
      <c r="Q39">
        <v>877.27</v>
      </c>
      <c r="R39">
        <v>2</v>
      </c>
      <c r="S39">
        <v>0.3</v>
      </c>
      <c r="T39">
        <v>228.41</v>
      </c>
    </row>
    <row r="40" spans="1:20" x14ac:dyDescent="0.35">
      <c r="A40">
        <v>39</v>
      </c>
      <c r="B40" t="s">
        <v>215</v>
      </c>
      <c r="C40" s="1">
        <v>45465</v>
      </c>
      <c r="D40" s="1">
        <v>45468</v>
      </c>
      <c r="E40" t="s">
        <v>52</v>
      </c>
      <c r="F40" t="s">
        <v>216</v>
      </c>
      <c r="G40" t="s">
        <v>217</v>
      </c>
      <c r="H40" t="s">
        <v>67</v>
      </c>
      <c r="I40" t="s">
        <v>749</v>
      </c>
      <c r="J40" t="s">
        <v>751</v>
      </c>
      <c r="K40">
        <v>500071</v>
      </c>
      <c r="L40" t="s">
        <v>35</v>
      </c>
      <c r="M40" t="s">
        <v>218</v>
      </c>
      <c r="N40" t="s">
        <v>61</v>
      </c>
      <c r="O40" t="s">
        <v>148</v>
      </c>
      <c r="P40" t="s">
        <v>219</v>
      </c>
      <c r="Q40">
        <v>1122.3599999999999</v>
      </c>
      <c r="R40">
        <v>5</v>
      </c>
      <c r="S40">
        <v>0.2</v>
      </c>
      <c r="T40">
        <v>-216.59</v>
      </c>
    </row>
    <row r="41" spans="1:20" x14ac:dyDescent="0.35">
      <c r="A41">
        <v>40</v>
      </c>
      <c r="B41" t="s">
        <v>220</v>
      </c>
      <c r="C41" s="1">
        <v>45780</v>
      </c>
      <c r="D41" s="1">
        <v>45786</v>
      </c>
      <c r="E41" t="s">
        <v>21</v>
      </c>
      <c r="F41" t="s">
        <v>145</v>
      </c>
      <c r="G41" t="s">
        <v>221</v>
      </c>
      <c r="H41" t="s">
        <v>24</v>
      </c>
      <c r="I41" t="s">
        <v>749</v>
      </c>
      <c r="J41" t="s">
        <v>751</v>
      </c>
      <c r="K41">
        <v>632973</v>
      </c>
      <c r="L41" t="s">
        <v>35</v>
      </c>
      <c r="M41" t="s">
        <v>222</v>
      </c>
      <c r="N41" t="s">
        <v>37</v>
      </c>
      <c r="O41" t="s">
        <v>38</v>
      </c>
      <c r="P41" t="s">
        <v>223</v>
      </c>
      <c r="Q41">
        <v>1443.87</v>
      </c>
      <c r="R41">
        <v>7</v>
      </c>
      <c r="S41">
        <v>0.1</v>
      </c>
      <c r="T41">
        <v>266.07</v>
      </c>
    </row>
    <row r="42" spans="1:20" x14ac:dyDescent="0.35">
      <c r="A42">
        <v>41</v>
      </c>
      <c r="B42" t="s">
        <v>224</v>
      </c>
      <c r="C42" s="1">
        <v>45613</v>
      </c>
      <c r="D42" s="1">
        <v>45614</v>
      </c>
      <c r="E42" t="s">
        <v>52</v>
      </c>
      <c r="F42" t="s">
        <v>225</v>
      </c>
      <c r="G42" t="s">
        <v>226</v>
      </c>
      <c r="H42" t="s">
        <v>34</v>
      </c>
      <c r="I42" t="s">
        <v>749</v>
      </c>
      <c r="J42" t="s">
        <v>751</v>
      </c>
      <c r="K42">
        <v>349181</v>
      </c>
      <c r="L42" t="s">
        <v>47</v>
      </c>
      <c r="M42" t="s">
        <v>193</v>
      </c>
      <c r="N42" t="s">
        <v>27</v>
      </c>
      <c r="O42" t="s">
        <v>158</v>
      </c>
      <c r="P42" t="s">
        <v>181</v>
      </c>
      <c r="Q42">
        <v>314.27</v>
      </c>
      <c r="R42">
        <v>1</v>
      </c>
      <c r="S42">
        <v>0.2</v>
      </c>
      <c r="T42">
        <v>40.39</v>
      </c>
    </row>
    <row r="43" spans="1:20" x14ac:dyDescent="0.35">
      <c r="A43">
        <v>42</v>
      </c>
      <c r="B43" t="s">
        <v>227</v>
      </c>
      <c r="C43" s="1">
        <v>45778</v>
      </c>
      <c r="D43" s="1">
        <v>45783</v>
      </c>
      <c r="E43" t="s">
        <v>31</v>
      </c>
      <c r="F43" t="s">
        <v>228</v>
      </c>
      <c r="G43" t="s">
        <v>229</v>
      </c>
      <c r="H43" t="s">
        <v>34</v>
      </c>
      <c r="I43" t="s">
        <v>749</v>
      </c>
      <c r="J43" t="s">
        <v>751</v>
      </c>
      <c r="K43">
        <v>562043</v>
      </c>
      <c r="L43" t="s">
        <v>35</v>
      </c>
      <c r="M43" t="s">
        <v>230</v>
      </c>
      <c r="N43" t="s">
        <v>27</v>
      </c>
      <c r="O43" t="s">
        <v>28</v>
      </c>
      <c r="P43" t="s">
        <v>231</v>
      </c>
      <c r="Q43">
        <v>1227.26</v>
      </c>
      <c r="R43">
        <v>7</v>
      </c>
      <c r="S43">
        <v>0.15</v>
      </c>
      <c r="T43">
        <v>290.95999999999998</v>
      </c>
    </row>
    <row r="44" spans="1:20" x14ac:dyDescent="0.35">
      <c r="A44">
        <v>43</v>
      </c>
      <c r="B44" t="s">
        <v>232</v>
      </c>
      <c r="C44" s="1">
        <v>45580</v>
      </c>
      <c r="D44" s="1">
        <v>45582</v>
      </c>
      <c r="E44" t="s">
        <v>21</v>
      </c>
      <c r="F44" t="s">
        <v>233</v>
      </c>
      <c r="G44" t="s">
        <v>234</v>
      </c>
      <c r="H44" t="s">
        <v>67</v>
      </c>
      <c r="I44" t="s">
        <v>749</v>
      </c>
      <c r="J44" t="s">
        <v>751</v>
      </c>
      <c r="K44">
        <v>608911</v>
      </c>
      <c r="L44" t="s">
        <v>68</v>
      </c>
      <c r="M44" t="s">
        <v>235</v>
      </c>
      <c r="N44" t="s">
        <v>61</v>
      </c>
      <c r="O44" t="s">
        <v>148</v>
      </c>
      <c r="P44" t="s">
        <v>236</v>
      </c>
      <c r="Q44">
        <v>45.16</v>
      </c>
      <c r="R44">
        <v>2</v>
      </c>
      <c r="S44">
        <v>0</v>
      </c>
      <c r="T44">
        <v>13.13</v>
      </c>
    </row>
    <row r="45" spans="1:20" x14ac:dyDescent="0.35">
      <c r="A45">
        <v>44</v>
      </c>
      <c r="B45" t="s">
        <v>237</v>
      </c>
      <c r="C45" s="1">
        <v>45451</v>
      </c>
      <c r="D45" s="1">
        <v>45455</v>
      </c>
      <c r="E45" t="s">
        <v>21</v>
      </c>
      <c r="F45" t="s">
        <v>121</v>
      </c>
      <c r="G45" t="s">
        <v>238</v>
      </c>
      <c r="H45" t="s">
        <v>24</v>
      </c>
      <c r="I45" t="s">
        <v>749</v>
      </c>
      <c r="J45" t="s">
        <v>751</v>
      </c>
      <c r="K45">
        <v>103350</v>
      </c>
      <c r="L45" t="s">
        <v>35</v>
      </c>
      <c r="M45" t="s">
        <v>239</v>
      </c>
      <c r="N45" t="s">
        <v>61</v>
      </c>
      <c r="O45" t="s">
        <v>99</v>
      </c>
      <c r="P45" t="s">
        <v>240</v>
      </c>
      <c r="Q45">
        <v>442.4</v>
      </c>
      <c r="R45">
        <v>6</v>
      </c>
      <c r="S45">
        <v>0.05</v>
      </c>
      <c r="T45">
        <v>79.39</v>
      </c>
    </row>
    <row r="46" spans="1:20" x14ac:dyDescent="0.35">
      <c r="A46">
        <v>45</v>
      </c>
      <c r="B46" t="s">
        <v>241</v>
      </c>
      <c r="C46" s="1">
        <v>45441</v>
      </c>
      <c r="D46" s="1">
        <v>45447</v>
      </c>
      <c r="E46" t="s">
        <v>21</v>
      </c>
      <c r="F46" t="s">
        <v>242</v>
      </c>
      <c r="G46" t="s">
        <v>243</v>
      </c>
      <c r="H46" t="s">
        <v>34</v>
      </c>
      <c r="I46" t="s">
        <v>749</v>
      </c>
      <c r="J46" t="s">
        <v>751</v>
      </c>
      <c r="K46">
        <v>938251</v>
      </c>
      <c r="L46" t="s">
        <v>68</v>
      </c>
      <c r="M46" t="s">
        <v>133</v>
      </c>
      <c r="N46" t="s">
        <v>27</v>
      </c>
      <c r="O46" t="s">
        <v>158</v>
      </c>
      <c r="P46" t="s">
        <v>244</v>
      </c>
      <c r="Q46">
        <v>1909.7</v>
      </c>
      <c r="R46">
        <v>2</v>
      </c>
      <c r="S46">
        <v>0.05</v>
      </c>
      <c r="T46">
        <v>412.21</v>
      </c>
    </row>
    <row r="47" spans="1:20" x14ac:dyDescent="0.35">
      <c r="A47">
        <v>46</v>
      </c>
      <c r="B47" t="s">
        <v>245</v>
      </c>
      <c r="C47" s="1">
        <v>45721</v>
      </c>
      <c r="D47" s="1">
        <v>45723</v>
      </c>
      <c r="E47" t="s">
        <v>21</v>
      </c>
      <c r="F47" t="s">
        <v>65</v>
      </c>
      <c r="G47" t="s">
        <v>246</v>
      </c>
      <c r="H47" t="s">
        <v>24</v>
      </c>
      <c r="I47" t="s">
        <v>749</v>
      </c>
      <c r="J47" t="s">
        <v>750</v>
      </c>
      <c r="K47">
        <v>281338</v>
      </c>
      <c r="L47" t="s">
        <v>35</v>
      </c>
      <c r="M47" t="s">
        <v>235</v>
      </c>
      <c r="N47" t="s">
        <v>27</v>
      </c>
      <c r="O47" t="s">
        <v>158</v>
      </c>
      <c r="P47" t="s">
        <v>159</v>
      </c>
      <c r="Q47">
        <v>135.08000000000001</v>
      </c>
      <c r="R47">
        <v>9</v>
      </c>
      <c r="S47">
        <v>0.05</v>
      </c>
      <c r="T47">
        <v>35.68</v>
      </c>
    </row>
    <row r="48" spans="1:20" x14ac:dyDescent="0.35">
      <c r="A48">
        <v>47</v>
      </c>
      <c r="B48" t="s">
        <v>247</v>
      </c>
      <c r="C48" s="1">
        <v>45499</v>
      </c>
      <c r="D48" s="1">
        <v>45504</v>
      </c>
      <c r="E48" t="s">
        <v>31</v>
      </c>
      <c r="F48" t="s">
        <v>248</v>
      </c>
      <c r="G48" t="s">
        <v>249</v>
      </c>
      <c r="H48" t="s">
        <v>67</v>
      </c>
      <c r="I48" t="s">
        <v>749</v>
      </c>
      <c r="J48" t="s">
        <v>750</v>
      </c>
      <c r="K48">
        <v>916847</v>
      </c>
      <c r="L48" t="s">
        <v>68</v>
      </c>
      <c r="M48" t="s">
        <v>54</v>
      </c>
      <c r="N48" t="s">
        <v>37</v>
      </c>
      <c r="O48" t="s">
        <v>55</v>
      </c>
      <c r="P48" t="s">
        <v>250</v>
      </c>
      <c r="Q48">
        <v>274.81</v>
      </c>
      <c r="R48">
        <v>9</v>
      </c>
      <c r="S48">
        <v>0.2</v>
      </c>
      <c r="T48">
        <v>-36.83</v>
      </c>
    </row>
    <row r="49" spans="1:20" x14ac:dyDescent="0.35">
      <c r="A49">
        <v>48</v>
      </c>
      <c r="B49" t="s">
        <v>251</v>
      </c>
      <c r="C49" s="1">
        <v>45447</v>
      </c>
      <c r="D49" s="1">
        <v>45452</v>
      </c>
      <c r="E49" t="s">
        <v>52</v>
      </c>
      <c r="F49" t="s">
        <v>252</v>
      </c>
      <c r="G49" t="s">
        <v>253</v>
      </c>
      <c r="H49" t="s">
        <v>24</v>
      </c>
      <c r="I49" t="s">
        <v>749</v>
      </c>
      <c r="J49" t="s">
        <v>750</v>
      </c>
      <c r="K49">
        <v>538084</v>
      </c>
      <c r="L49" t="s">
        <v>47</v>
      </c>
      <c r="M49" t="s">
        <v>193</v>
      </c>
      <c r="N49" t="s">
        <v>61</v>
      </c>
      <c r="O49" t="s">
        <v>148</v>
      </c>
      <c r="P49" t="s">
        <v>254</v>
      </c>
      <c r="Q49">
        <v>1164.52</v>
      </c>
      <c r="R49">
        <v>10</v>
      </c>
      <c r="S49">
        <v>0.05</v>
      </c>
      <c r="T49">
        <v>-28.41</v>
      </c>
    </row>
    <row r="50" spans="1:20" x14ac:dyDescent="0.35">
      <c r="A50">
        <v>49</v>
      </c>
      <c r="B50" t="s">
        <v>255</v>
      </c>
      <c r="C50" s="1">
        <v>45346</v>
      </c>
      <c r="D50" s="1">
        <v>45347</v>
      </c>
      <c r="E50" t="s">
        <v>31</v>
      </c>
      <c r="F50" t="s">
        <v>256</v>
      </c>
      <c r="G50" t="s">
        <v>257</v>
      </c>
      <c r="H50" t="s">
        <v>34</v>
      </c>
      <c r="I50" t="s">
        <v>749</v>
      </c>
      <c r="J50" t="s">
        <v>750</v>
      </c>
      <c r="K50">
        <v>767200</v>
      </c>
      <c r="L50" t="s">
        <v>47</v>
      </c>
      <c r="M50" t="s">
        <v>123</v>
      </c>
      <c r="N50" t="s">
        <v>37</v>
      </c>
      <c r="O50" t="s">
        <v>49</v>
      </c>
      <c r="P50" t="s">
        <v>258</v>
      </c>
      <c r="Q50">
        <v>1021.63</v>
      </c>
      <c r="R50">
        <v>3</v>
      </c>
      <c r="S50">
        <v>0.1</v>
      </c>
      <c r="T50">
        <v>82.28</v>
      </c>
    </row>
    <row r="51" spans="1:20" x14ac:dyDescent="0.35">
      <c r="A51">
        <v>50</v>
      </c>
      <c r="B51" t="s">
        <v>259</v>
      </c>
      <c r="C51" s="1">
        <v>45407</v>
      </c>
      <c r="D51" s="1">
        <v>45412</v>
      </c>
      <c r="E51" t="s">
        <v>31</v>
      </c>
      <c r="F51" t="s">
        <v>260</v>
      </c>
      <c r="G51" t="s">
        <v>261</v>
      </c>
      <c r="H51" t="s">
        <v>67</v>
      </c>
      <c r="I51" t="s">
        <v>749</v>
      </c>
      <c r="J51" t="s">
        <v>750</v>
      </c>
      <c r="K51">
        <v>470199</v>
      </c>
      <c r="L51" t="s">
        <v>68</v>
      </c>
      <c r="M51" t="s">
        <v>262</v>
      </c>
      <c r="N51" t="s">
        <v>27</v>
      </c>
      <c r="O51" t="s">
        <v>28</v>
      </c>
      <c r="P51" t="s">
        <v>263</v>
      </c>
      <c r="Q51">
        <v>1120.48</v>
      </c>
      <c r="R51">
        <v>5</v>
      </c>
      <c r="S51">
        <v>0.2</v>
      </c>
      <c r="T51">
        <v>346.25</v>
      </c>
    </row>
    <row r="52" spans="1:20" x14ac:dyDescent="0.35">
      <c r="A52">
        <v>51</v>
      </c>
      <c r="B52" t="s">
        <v>264</v>
      </c>
      <c r="C52" s="1">
        <v>45595</v>
      </c>
      <c r="D52" s="1">
        <v>45600</v>
      </c>
      <c r="E52" t="s">
        <v>31</v>
      </c>
      <c r="F52" t="s">
        <v>131</v>
      </c>
      <c r="G52" t="s">
        <v>265</v>
      </c>
      <c r="H52" t="s">
        <v>24</v>
      </c>
      <c r="I52" t="s">
        <v>749</v>
      </c>
      <c r="J52" t="s">
        <v>750</v>
      </c>
      <c r="K52">
        <v>542978</v>
      </c>
      <c r="L52" t="s">
        <v>47</v>
      </c>
      <c r="M52" t="s">
        <v>109</v>
      </c>
      <c r="N52" t="s">
        <v>37</v>
      </c>
      <c r="O52" t="s">
        <v>49</v>
      </c>
      <c r="P52" t="s">
        <v>266</v>
      </c>
      <c r="Q52">
        <v>608.16</v>
      </c>
      <c r="R52">
        <v>3</v>
      </c>
      <c r="S52">
        <v>0</v>
      </c>
      <c r="T52">
        <v>-21.13</v>
      </c>
    </row>
    <row r="53" spans="1:20" x14ac:dyDescent="0.35">
      <c r="A53">
        <v>52</v>
      </c>
      <c r="B53" t="s">
        <v>267</v>
      </c>
      <c r="C53" s="1">
        <v>45421</v>
      </c>
      <c r="D53" s="1">
        <v>45425</v>
      </c>
      <c r="E53" t="s">
        <v>21</v>
      </c>
      <c r="F53" t="s">
        <v>268</v>
      </c>
      <c r="G53" t="s">
        <v>269</v>
      </c>
      <c r="H53" t="s">
        <v>67</v>
      </c>
      <c r="I53" t="s">
        <v>749</v>
      </c>
      <c r="J53" t="s">
        <v>750</v>
      </c>
      <c r="K53">
        <v>770180</v>
      </c>
      <c r="L53" t="s">
        <v>47</v>
      </c>
      <c r="M53" t="s">
        <v>270</v>
      </c>
      <c r="N53" t="s">
        <v>61</v>
      </c>
      <c r="O53" t="s">
        <v>99</v>
      </c>
      <c r="P53" t="s">
        <v>271</v>
      </c>
      <c r="Q53">
        <v>145.08000000000001</v>
      </c>
      <c r="R53">
        <v>5</v>
      </c>
      <c r="S53">
        <v>0.2</v>
      </c>
      <c r="T53">
        <v>8.6</v>
      </c>
    </row>
    <row r="54" spans="1:20" x14ac:dyDescent="0.35">
      <c r="A54">
        <v>53</v>
      </c>
      <c r="B54" t="s">
        <v>272</v>
      </c>
      <c r="C54" s="1">
        <v>45617</v>
      </c>
      <c r="D54" s="1">
        <v>45624</v>
      </c>
      <c r="E54" t="s">
        <v>21</v>
      </c>
      <c r="F54" t="s">
        <v>273</v>
      </c>
      <c r="G54" t="s">
        <v>274</v>
      </c>
      <c r="H54" t="s">
        <v>24</v>
      </c>
      <c r="I54" t="s">
        <v>749</v>
      </c>
      <c r="J54" t="s">
        <v>750</v>
      </c>
      <c r="K54">
        <v>462161</v>
      </c>
      <c r="L54" t="s">
        <v>68</v>
      </c>
      <c r="M54" t="s">
        <v>275</v>
      </c>
      <c r="N54" t="s">
        <v>27</v>
      </c>
      <c r="O54" t="s">
        <v>110</v>
      </c>
      <c r="P54" t="s">
        <v>276</v>
      </c>
      <c r="Q54">
        <v>45.43</v>
      </c>
      <c r="R54">
        <v>2</v>
      </c>
      <c r="S54">
        <v>0.3</v>
      </c>
      <c r="T54">
        <v>8.11</v>
      </c>
    </row>
    <row r="55" spans="1:20" x14ac:dyDescent="0.35">
      <c r="A55">
        <v>54</v>
      </c>
      <c r="B55" t="s">
        <v>277</v>
      </c>
      <c r="C55" s="1">
        <v>45695</v>
      </c>
      <c r="D55" s="1">
        <v>45696</v>
      </c>
      <c r="E55" t="s">
        <v>21</v>
      </c>
      <c r="F55" t="s">
        <v>233</v>
      </c>
      <c r="G55" t="s">
        <v>278</v>
      </c>
      <c r="H55" t="s">
        <v>34</v>
      </c>
      <c r="I55" t="s">
        <v>749</v>
      </c>
      <c r="J55" t="s">
        <v>750</v>
      </c>
      <c r="K55">
        <v>212496</v>
      </c>
      <c r="L55" t="s">
        <v>47</v>
      </c>
      <c r="M55" t="s">
        <v>279</v>
      </c>
      <c r="N55" t="s">
        <v>61</v>
      </c>
      <c r="O55" t="s">
        <v>62</v>
      </c>
      <c r="P55" t="s">
        <v>280</v>
      </c>
      <c r="Q55">
        <v>1722.91</v>
      </c>
      <c r="R55">
        <v>9</v>
      </c>
      <c r="S55">
        <v>0.05</v>
      </c>
      <c r="T55">
        <v>205.76</v>
      </c>
    </row>
    <row r="56" spans="1:20" x14ac:dyDescent="0.35">
      <c r="A56">
        <v>55</v>
      </c>
      <c r="B56" t="s">
        <v>281</v>
      </c>
      <c r="C56" s="1">
        <v>45298</v>
      </c>
      <c r="D56" s="1">
        <v>45300</v>
      </c>
      <c r="E56" t="s">
        <v>31</v>
      </c>
      <c r="F56" t="s">
        <v>282</v>
      </c>
      <c r="G56" t="s">
        <v>283</v>
      </c>
      <c r="H56" t="s">
        <v>24</v>
      </c>
      <c r="I56" t="s">
        <v>749</v>
      </c>
      <c r="J56" t="s">
        <v>750</v>
      </c>
      <c r="K56">
        <v>123820</v>
      </c>
      <c r="L56" t="s">
        <v>68</v>
      </c>
      <c r="M56" t="s">
        <v>284</v>
      </c>
      <c r="N56" t="s">
        <v>37</v>
      </c>
      <c r="O56" t="s">
        <v>49</v>
      </c>
      <c r="P56" t="s">
        <v>285</v>
      </c>
      <c r="Q56">
        <v>161.24</v>
      </c>
      <c r="R56">
        <v>1</v>
      </c>
      <c r="S56">
        <v>0.15</v>
      </c>
      <c r="T56">
        <v>-3.95</v>
      </c>
    </row>
    <row r="57" spans="1:20" x14ac:dyDescent="0.35">
      <c r="A57">
        <v>56</v>
      </c>
      <c r="B57" t="s">
        <v>286</v>
      </c>
      <c r="C57" s="1">
        <v>45305</v>
      </c>
      <c r="D57" s="1">
        <v>45310</v>
      </c>
      <c r="E57" t="s">
        <v>52</v>
      </c>
      <c r="F57" t="s">
        <v>113</v>
      </c>
      <c r="G57" t="s">
        <v>287</v>
      </c>
      <c r="H57" t="s">
        <v>67</v>
      </c>
      <c r="I57" t="s">
        <v>749</v>
      </c>
      <c r="J57" t="s">
        <v>750</v>
      </c>
      <c r="K57">
        <v>920258</v>
      </c>
      <c r="L57" t="s">
        <v>35</v>
      </c>
      <c r="M57" t="s">
        <v>214</v>
      </c>
      <c r="N57" t="s">
        <v>37</v>
      </c>
      <c r="O57" t="s">
        <v>38</v>
      </c>
      <c r="P57" t="s">
        <v>288</v>
      </c>
      <c r="Q57">
        <v>1663.64</v>
      </c>
      <c r="R57">
        <v>7</v>
      </c>
      <c r="S57">
        <v>0.15</v>
      </c>
      <c r="T57">
        <v>373.96</v>
      </c>
    </row>
    <row r="58" spans="1:20" x14ac:dyDescent="0.35">
      <c r="A58">
        <v>57</v>
      </c>
      <c r="B58" t="s">
        <v>289</v>
      </c>
      <c r="C58" s="1">
        <v>45651</v>
      </c>
      <c r="D58" s="1">
        <v>45652</v>
      </c>
      <c r="E58" t="s">
        <v>21</v>
      </c>
      <c r="F58" t="s">
        <v>290</v>
      </c>
      <c r="G58" t="s">
        <v>291</v>
      </c>
      <c r="H58" t="s">
        <v>24</v>
      </c>
      <c r="I58" t="s">
        <v>749</v>
      </c>
      <c r="J58" t="s">
        <v>750</v>
      </c>
      <c r="K58">
        <v>890900</v>
      </c>
      <c r="L58" t="s">
        <v>68</v>
      </c>
      <c r="M58" t="s">
        <v>292</v>
      </c>
      <c r="N58" t="s">
        <v>27</v>
      </c>
      <c r="O58" t="s">
        <v>110</v>
      </c>
      <c r="P58" t="s">
        <v>293</v>
      </c>
      <c r="Q58">
        <v>311.99</v>
      </c>
      <c r="R58">
        <v>10</v>
      </c>
      <c r="S58">
        <v>0.2</v>
      </c>
      <c r="T58">
        <v>7.01</v>
      </c>
    </row>
    <row r="59" spans="1:20" x14ac:dyDescent="0.35">
      <c r="A59">
        <v>58</v>
      </c>
      <c r="B59" t="s">
        <v>294</v>
      </c>
      <c r="C59" s="1">
        <v>45327</v>
      </c>
      <c r="D59" s="1">
        <v>45330</v>
      </c>
      <c r="E59" t="s">
        <v>21</v>
      </c>
      <c r="F59" t="s">
        <v>295</v>
      </c>
      <c r="G59" t="s">
        <v>296</v>
      </c>
      <c r="H59" t="s">
        <v>34</v>
      </c>
      <c r="I59" t="s">
        <v>749</v>
      </c>
      <c r="J59" t="s">
        <v>753</v>
      </c>
      <c r="K59">
        <v>996483</v>
      </c>
      <c r="L59" t="s">
        <v>25</v>
      </c>
      <c r="M59" t="s">
        <v>297</v>
      </c>
      <c r="N59" t="s">
        <v>61</v>
      </c>
      <c r="O59" t="s">
        <v>148</v>
      </c>
      <c r="P59" t="s">
        <v>149</v>
      </c>
      <c r="Q59">
        <v>352.91</v>
      </c>
      <c r="R59">
        <v>9</v>
      </c>
      <c r="S59">
        <v>0.3</v>
      </c>
      <c r="T59">
        <v>83.78</v>
      </c>
    </row>
    <row r="60" spans="1:20" x14ac:dyDescent="0.35">
      <c r="A60">
        <v>59</v>
      </c>
      <c r="B60" t="s">
        <v>298</v>
      </c>
      <c r="C60" s="1">
        <v>45292</v>
      </c>
      <c r="D60" s="1">
        <v>45295</v>
      </c>
      <c r="E60" t="s">
        <v>31</v>
      </c>
      <c r="F60" t="s">
        <v>282</v>
      </c>
      <c r="G60" t="s">
        <v>299</v>
      </c>
      <c r="H60" t="s">
        <v>67</v>
      </c>
      <c r="I60" t="s">
        <v>749</v>
      </c>
      <c r="J60" t="s">
        <v>753</v>
      </c>
      <c r="K60">
        <v>569815</v>
      </c>
      <c r="L60" t="s">
        <v>68</v>
      </c>
      <c r="M60" t="s">
        <v>300</v>
      </c>
      <c r="N60" t="s">
        <v>37</v>
      </c>
      <c r="O60" t="s">
        <v>38</v>
      </c>
      <c r="P60" t="s">
        <v>301</v>
      </c>
      <c r="Q60">
        <v>1818.21</v>
      </c>
      <c r="R60">
        <v>3</v>
      </c>
      <c r="S60">
        <v>0.1</v>
      </c>
      <c r="T60">
        <v>447.33</v>
      </c>
    </row>
    <row r="61" spans="1:20" x14ac:dyDescent="0.35">
      <c r="A61">
        <v>60</v>
      </c>
      <c r="B61" t="s">
        <v>302</v>
      </c>
      <c r="C61" s="1">
        <v>45355</v>
      </c>
      <c r="D61" s="1">
        <v>45359</v>
      </c>
      <c r="E61" t="s">
        <v>52</v>
      </c>
      <c r="F61" t="s">
        <v>77</v>
      </c>
      <c r="G61" t="s">
        <v>303</v>
      </c>
      <c r="H61" t="s">
        <v>24</v>
      </c>
      <c r="I61" t="s">
        <v>749</v>
      </c>
      <c r="J61" t="s">
        <v>753</v>
      </c>
      <c r="K61">
        <v>471979</v>
      </c>
      <c r="L61" t="s">
        <v>47</v>
      </c>
      <c r="M61" t="s">
        <v>74</v>
      </c>
      <c r="N61" t="s">
        <v>27</v>
      </c>
      <c r="O61" t="s">
        <v>110</v>
      </c>
      <c r="P61" t="s">
        <v>304</v>
      </c>
      <c r="Q61">
        <v>1504.68</v>
      </c>
      <c r="R61">
        <v>7</v>
      </c>
      <c r="S61">
        <v>0.1</v>
      </c>
      <c r="T61">
        <v>-166.76</v>
      </c>
    </row>
    <row r="62" spans="1:20" x14ac:dyDescent="0.35">
      <c r="A62">
        <v>61</v>
      </c>
      <c r="B62" t="s">
        <v>305</v>
      </c>
      <c r="C62" s="1">
        <v>45458</v>
      </c>
      <c r="D62" s="1">
        <v>45461</v>
      </c>
      <c r="E62" t="s">
        <v>21</v>
      </c>
      <c r="F62" t="s">
        <v>306</v>
      </c>
      <c r="G62" t="s">
        <v>307</v>
      </c>
      <c r="H62" t="s">
        <v>34</v>
      </c>
      <c r="I62" t="s">
        <v>749</v>
      </c>
      <c r="J62" t="s">
        <v>753</v>
      </c>
      <c r="K62">
        <v>727982</v>
      </c>
      <c r="L62" t="s">
        <v>35</v>
      </c>
      <c r="M62" t="s">
        <v>308</v>
      </c>
      <c r="N62" t="s">
        <v>27</v>
      </c>
      <c r="O62" t="s">
        <v>158</v>
      </c>
      <c r="P62" t="s">
        <v>309</v>
      </c>
      <c r="Q62">
        <v>579.23</v>
      </c>
      <c r="R62">
        <v>2</v>
      </c>
      <c r="S62">
        <v>0.3</v>
      </c>
      <c r="T62">
        <v>19.16</v>
      </c>
    </row>
    <row r="63" spans="1:20" x14ac:dyDescent="0.35">
      <c r="A63">
        <v>62</v>
      </c>
      <c r="B63" t="s">
        <v>310</v>
      </c>
      <c r="C63" s="1">
        <v>45368</v>
      </c>
      <c r="D63" s="1">
        <v>45375</v>
      </c>
      <c r="E63" t="s">
        <v>52</v>
      </c>
      <c r="F63" t="s">
        <v>170</v>
      </c>
      <c r="G63" t="s">
        <v>311</v>
      </c>
      <c r="H63" t="s">
        <v>24</v>
      </c>
      <c r="I63" t="s">
        <v>749</v>
      </c>
      <c r="J63" t="s">
        <v>753</v>
      </c>
      <c r="K63">
        <v>669497</v>
      </c>
      <c r="L63" t="s">
        <v>68</v>
      </c>
      <c r="M63" t="s">
        <v>93</v>
      </c>
      <c r="N63" t="s">
        <v>27</v>
      </c>
      <c r="O63" t="s">
        <v>158</v>
      </c>
      <c r="P63" t="s">
        <v>312</v>
      </c>
      <c r="Q63">
        <v>1591.73</v>
      </c>
      <c r="R63">
        <v>5</v>
      </c>
      <c r="S63">
        <v>0.05</v>
      </c>
      <c r="T63">
        <v>-50.32</v>
      </c>
    </row>
    <row r="64" spans="1:20" x14ac:dyDescent="0.35">
      <c r="A64">
        <v>63</v>
      </c>
      <c r="B64" t="s">
        <v>313</v>
      </c>
      <c r="C64" s="1">
        <v>45428</v>
      </c>
      <c r="D64" s="1">
        <v>45435</v>
      </c>
      <c r="E64" t="s">
        <v>21</v>
      </c>
      <c r="F64" t="s">
        <v>32</v>
      </c>
      <c r="G64" t="s">
        <v>314</v>
      </c>
      <c r="H64" t="s">
        <v>24</v>
      </c>
      <c r="I64" t="s">
        <v>749</v>
      </c>
      <c r="J64" t="s">
        <v>753</v>
      </c>
      <c r="K64">
        <v>110982</v>
      </c>
      <c r="L64" t="s">
        <v>35</v>
      </c>
      <c r="M64" t="s">
        <v>176</v>
      </c>
      <c r="N64" t="s">
        <v>37</v>
      </c>
      <c r="O64" t="s">
        <v>38</v>
      </c>
      <c r="P64" t="s">
        <v>315</v>
      </c>
      <c r="Q64">
        <v>347.38</v>
      </c>
      <c r="R64">
        <v>9</v>
      </c>
      <c r="S64">
        <v>0.2</v>
      </c>
      <c r="T64">
        <v>13.21</v>
      </c>
    </row>
    <row r="65" spans="1:20" x14ac:dyDescent="0.35">
      <c r="A65">
        <v>64</v>
      </c>
      <c r="B65" t="s">
        <v>316</v>
      </c>
      <c r="C65" s="1">
        <v>45588</v>
      </c>
      <c r="D65" s="1">
        <v>45589</v>
      </c>
      <c r="E65" t="s">
        <v>52</v>
      </c>
      <c r="F65" t="s">
        <v>140</v>
      </c>
      <c r="G65" t="s">
        <v>317</v>
      </c>
      <c r="H65" t="s">
        <v>67</v>
      </c>
      <c r="I65" t="s">
        <v>749</v>
      </c>
      <c r="J65" t="s">
        <v>752</v>
      </c>
      <c r="K65">
        <v>822258</v>
      </c>
      <c r="L65" t="s">
        <v>35</v>
      </c>
      <c r="M65" t="s">
        <v>318</v>
      </c>
      <c r="N65" t="s">
        <v>61</v>
      </c>
      <c r="O65" t="s">
        <v>148</v>
      </c>
      <c r="P65" t="s">
        <v>319</v>
      </c>
      <c r="Q65">
        <v>467.34</v>
      </c>
      <c r="R65">
        <v>10</v>
      </c>
      <c r="S65">
        <v>0.05</v>
      </c>
      <c r="T65">
        <v>118.38</v>
      </c>
    </row>
    <row r="66" spans="1:20" x14ac:dyDescent="0.35">
      <c r="A66">
        <v>65</v>
      </c>
      <c r="B66" t="s">
        <v>320</v>
      </c>
      <c r="C66" s="1">
        <v>45563</v>
      </c>
      <c r="D66" s="1">
        <v>45567</v>
      </c>
      <c r="E66" t="s">
        <v>31</v>
      </c>
      <c r="F66" t="s">
        <v>321</v>
      </c>
      <c r="G66" t="s">
        <v>322</v>
      </c>
      <c r="H66" t="s">
        <v>67</v>
      </c>
      <c r="I66" t="s">
        <v>749</v>
      </c>
      <c r="J66" t="s">
        <v>752</v>
      </c>
      <c r="K66">
        <v>336343</v>
      </c>
      <c r="L66" t="s">
        <v>47</v>
      </c>
      <c r="M66" t="s">
        <v>123</v>
      </c>
      <c r="N66" t="s">
        <v>27</v>
      </c>
      <c r="O66" t="s">
        <v>158</v>
      </c>
      <c r="P66" t="s">
        <v>312</v>
      </c>
      <c r="Q66">
        <v>280.99</v>
      </c>
      <c r="R66">
        <v>3</v>
      </c>
      <c r="S66">
        <v>0.05</v>
      </c>
      <c r="T66">
        <v>-34.94</v>
      </c>
    </row>
    <row r="67" spans="1:20" x14ac:dyDescent="0.35">
      <c r="A67">
        <v>66</v>
      </c>
      <c r="B67" t="s">
        <v>323</v>
      </c>
      <c r="C67" s="1">
        <v>45806</v>
      </c>
      <c r="D67" s="1">
        <v>45809</v>
      </c>
      <c r="E67" t="s">
        <v>52</v>
      </c>
      <c r="F67" t="s">
        <v>324</v>
      </c>
      <c r="G67" t="s">
        <v>325</v>
      </c>
      <c r="H67" t="s">
        <v>24</v>
      </c>
      <c r="I67" t="s">
        <v>749</v>
      </c>
      <c r="J67" t="s">
        <v>752</v>
      </c>
      <c r="K67">
        <v>498950</v>
      </c>
      <c r="L67" t="s">
        <v>35</v>
      </c>
      <c r="M67" t="s">
        <v>326</v>
      </c>
      <c r="N67" t="s">
        <v>27</v>
      </c>
      <c r="O67" t="s">
        <v>110</v>
      </c>
      <c r="P67" t="s">
        <v>327</v>
      </c>
      <c r="Q67">
        <v>1774</v>
      </c>
      <c r="R67">
        <v>2</v>
      </c>
      <c r="S67">
        <v>0.15</v>
      </c>
      <c r="T67">
        <v>37.64</v>
      </c>
    </row>
    <row r="68" spans="1:20" x14ac:dyDescent="0.35">
      <c r="A68">
        <v>67</v>
      </c>
      <c r="B68" t="s">
        <v>328</v>
      </c>
      <c r="C68" s="1">
        <v>45446</v>
      </c>
      <c r="D68" s="1">
        <v>45448</v>
      </c>
      <c r="E68" t="s">
        <v>31</v>
      </c>
      <c r="F68" t="s">
        <v>131</v>
      </c>
      <c r="G68" t="s">
        <v>329</v>
      </c>
      <c r="H68" t="s">
        <v>34</v>
      </c>
      <c r="I68" t="s">
        <v>749</v>
      </c>
      <c r="J68" t="s">
        <v>752</v>
      </c>
      <c r="K68">
        <v>193795</v>
      </c>
      <c r="L68" t="s">
        <v>25</v>
      </c>
      <c r="M68" t="s">
        <v>330</v>
      </c>
      <c r="N68" t="s">
        <v>37</v>
      </c>
      <c r="O68" t="s">
        <v>49</v>
      </c>
      <c r="P68" t="s">
        <v>331</v>
      </c>
      <c r="Q68">
        <v>1322.52</v>
      </c>
      <c r="R68">
        <v>2</v>
      </c>
      <c r="S68">
        <v>0.2</v>
      </c>
      <c r="T68">
        <v>238.64</v>
      </c>
    </row>
    <row r="69" spans="1:20" x14ac:dyDescent="0.35">
      <c r="A69">
        <v>68</v>
      </c>
      <c r="B69" t="s">
        <v>332</v>
      </c>
      <c r="C69" s="1">
        <v>45380</v>
      </c>
      <c r="D69" s="1">
        <v>45382</v>
      </c>
      <c r="E69" t="s">
        <v>21</v>
      </c>
      <c r="F69" t="s">
        <v>333</v>
      </c>
      <c r="G69" t="s">
        <v>334</v>
      </c>
      <c r="H69" t="s">
        <v>67</v>
      </c>
      <c r="I69" t="s">
        <v>749</v>
      </c>
      <c r="J69" t="s">
        <v>752</v>
      </c>
      <c r="K69">
        <v>542721</v>
      </c>
      <c r="L69" t="s">
        <v>35</v>
      </c>
      <c r="M69" t="s">
        <v>335</v>
      </c>
      <c r="N69" t="s">
        <v>37</v>
      </c>
      <c r="O69" t="s">
        <v>55</v>
      </c>
      <c r="P69" t="s">
        <v>336</v>
      </c>
      <c r="Q69">
        <v>1331.06</v>
      </c>
      <c r="R69">
        <v>6</v>
      </c>
      <c r="S69">
        <v>0.05</v>
      </c>
      <c r="T69">
        <v>186.93</v>
      </c>
    </row>
    <row r="70" spans="1:20" x14ac:dyDescent="0.35">
      <c r="A70">
        <v>69</v>
      </c>
      <c r="B70" t="s">
        <v>337</v>
      </c>
      <c r="C70" s="1">
        <v>45320</v>
      </c>
      <c r="D70" s="1">
        <v>45327</v>
      </c>
      <c r="E70" t="s">
        <v>52</v>
      </c>
      <c r="F70" t="s">
        <v>338</v>
      </c>
      <c r="G70" t="s">
        <v>339</v>
      </c>
      <c r="H70" t="s">
        <v>24</v>
      </c>
      <c r="I70" t="s">
        <v>749</v>
      </c>
      <c r="J70" t="s">
        <v>752</v>
      </c>
      <c r="K70">
        <v>139932</v>
      </c>
      <c r="L70" t="s">
        <v>25</v>
      </c>
      <c r="M70" t="s">
        <v>340</v>
      </c>
      <c r="N70" t="s">
        <v>27</v>
      </c>
      <c r="O70" t="s">
        <v>28</v>
      </c>
      <c r="P70" t="s">
        <v>89</v>
      </c>
      <c r="Q70">
        <v>269.89999999999998</v>
      </c>
      <c r="R70">
        <v>7</v>
      </c>
      <c r="S70">
        <v>0.05</v>
      </c>
      <c r="T70">
        <v>-12.33</v>
      </c>
    </row>
    <row r="71" spans="1:20" x14ac:dyDescent="0.35">
      <c r="A71">
        <v>70</v>
      </c>
      <c r="B71" t="s">
        <v>341</v>
      </c>
      <c r="C71" s="1">
        <v>45600</v>
      </c>
      <c r="D71" s="1">
        <v>45604</v>
      </c>
      <c r="E71" t="s">
        <v>21</v>
      </c>
      <c r="F71" t="s">
        <v>208</v>
      </c>
      <c r="G71" t="s">
        <v>342</v>
      </c>
      <c r="H71" t="s">
        <v>67</v>
      </c>
      <c r="I71" t="s">
        <v>749</v>
      </c>
      <c r="J71" t="s">
        <v>752</v>
      </c>
      <c r="K71">
        <v>866466</v>
      </c>
      <c r="L71" t="s">
        <v>25</v>
      </c>
      <c r="M71" t="s">
        <v>214</v>
      </c>
      <c r="N71" t="s">
        <v>27</v>
      </c>
      <c r="O71" t="s">
        <v>158</v>
      </c>
      <c r="P71" t="s">
        <v>343</v>
      </c>
      <c r="Q71">
        <v>93.17</v>
      </c>
      <c r="R71">
        <v>6</v>
      </c>
      <c r="S71">
        <v>0.2</v>
      </c>
      <c r="T71">
        <v>-7.17</v>
      </c>
    </row>
    <row r="72" spans="1:20" x14ac:dyDescent="0.35">
      <c r="A72">
        <v>71</v>
      </c>
      <c r="B72" t="s">
        <v>344</v>
      </c>
      <c r="C72" s="1">
        <v>45730</v>
      </c>
      <c r="D72" s="1">
        <v>45737</v>
      </c>
      <c r="E72" t="s">
        <v>21</v>
      </c>
      <c r="F72" t="s">
        <v>345</v>
      </c>
      <c r="G72" t="s">
        <v>346</v>
      </c>
      <c r="H72" t="s">
        <v>67</v>
      </c>
      <c r="I72" t="s">
        <v>749</v>
      </c>
      <c r="J72" t="s">
        <v>753</v>
      </c>
      <c r="K72">
        <v>614818</v>
      </c>
      <c r="L72" t="s">
        <v>47</v>
      </c>
      <c r="M72" t="s">
        <v>189</v>
      </c>
      <c r="N72" t="s">
        <v>37</v>
      </c>
      <c r="O72" t="s">
        <v>55</v>
      </c>
      <c r="P72" t="s">
        <v>347</v>
      </c>
      <c r="Q72">
        <v>1831.85</v>
      </c>
      <c r="R72">
        <v>4</v>
      </c>
      <c r="S72">
        <v>0</v>
      </c>
      <c r="T72">
        <v>-204.08</v>
      </c>
    </row>
    <row r="73" spans="1:20" x14ac:dyDescent="0.35">
      <c r="A73">
        <v>72</v>
      </c>
      <c r="B73" t="s">
        <v>348</v>
      </c>
      <c r="C73" s="1">
        <v>45751</v>
      </c>
      <c r="D73" s="1">
        <v>45754</v>
      </c>
      <c r="E73" t="s">
        <v>21</v>
      </c>
      <c r="F73" t="s">
        <v>333</v>
      </c>
      <c r="G73" t="s">
        <v>349</v>
      </c>
      <c r="H73" t="s">
        <v>34</v>
      </c>
      <c r="I73" t="s">
        <v>749</v>
      </c>
      <c r="J73" t="s">
        <v>753</v>
      </c>
      <c r="K73">
        <v>280132</v>
      </c>
      <c r="L73" t="s">
        <v>25</v>
      </c>
      <c r="M73" t="s">
        <v>350</v>
      </c>
      <c r="N73" t="s">
        <v>27</v>
      </c>
      <c r="O73" t="s">
        <v>158</v>
      </c>
      <c r="P73" t="s">
        <v>309</v>
      </c>
      <c r="Q73">
        <v>885.74</v>
      </c>
      <c r="R73">
        <v>3</v>
      </c>
      <c r="S73">
        <v>0</v>
      </c>
      <c r="T73">
        <v>301.12</v>
      </c>
    </row>
    <row r="74" spans="1:20" x14ac:dyDescent="0.35">
      <c r="A74">
        <v>73</v>
      </c>
      <c r="B74" t="s">
        <v>351</v>
      </c>
      <c r="C74" s="1">
        <v>45345</v>
      </c>
      <c r="D74" s="1">
        <v>45348</v>
      </c>
      <c r="E74" t="s">
        <v>21</v>
      </c>
      <c r="F74" t="s">
        <v>352</v>
      </c>
      <c r="G74" t="s">
        <v>353</v>
      </c>
      <c r="H74" t="s">
        <v>24</v>
      </c>
      <c r="I74" t="s">
        <v>749</v>
      </c>
      <c r="J74" t="s">
        <v>755</v>
      </c>
      <c r="K74">
        <v>518433</v>
      </c>
      <c r="L74" t="s">
        <v>25</v>
      </c>
      <c r="M74" t="s">
        <v>354</v>
      </c>
      <c r="N74" t="s">
        <v>27</v>
      </c>
      <c r="O74" t="s">
        <v>110</v>
      </c>
      <c r="P74" t="s">
        <v>355</v>
      </c>
      <c r="Q74">
        <v>264.29000000000002</v>
      </c>
      <c r="R74">
        <v>9</v>
      </c>
      <c r="S74">
        <v>0.05</v>
      </c>
      <c r="T74">
        <v>-32.43</v>
      </c>
    </row>
    <row r="75" spans="1:20" x14ac:dyDescent="0.35">
      <c r="A75">
        <v>74</v>
      </c>
      <c r="B75" t="s">
        <v>356</v>
      </c>
      <c r="C75" s="1">
        <v>45746</v>
      </c>
      <c r="D75" s="1">
        <v>45753</v>
      </c>
      <c r="E75" t="s">
        <v>31</v>
      </c>
      <c r="F75" t="s">
        <v>357</v>
      </c>
      <c r="G75" t="s">
        <v>358</v>
      </c>
      <c r="H75" t="s">
        <v>24</v>
      </c>
      <c r="I75" t="s">
        <v>749</v>
      </c>
      <c r="J75" t="s">
        <v>755</v>
      </c>
      <c r="K75">
        <v>959345</v>
      </c>
      <c r="L75" t="s">
        <v>35</v>
      </c>
      <c r="M75" t="s">
        <v>128</v>
      </c>
      <c r="N75" t="s">
        <v>61</v>
      </c>
      <c r="O75" t="s">
        <v>148</v>
      </c>
      <c r="P75" t="s">
        <v>359</v>
      </c>
      <c r="Q75">
        <v>885.43</v>
      </c>
      <c r="R75">
        <v>2</v>
      </c>
      <c r="S75">
        <v>0.05</v>
      </c>
      <c r="T75">
        <v>96.53</v>
      </c>
    </row>
    <row r="76" spans="1:20" x14ac:dyDescent="0.35">
      <c r="A76">
        <v>75</v>
      </c>
      <c r="B76" t="s">
        <v>360</v>
      </c>
      <c r="C76" s="1">
        <v>45450</v>
      </c>
      <c r="D76" s="1">
        <v>45453</v>
      </c>
      <c r="E76" t="s">
        <v>52</v>
      </c>
      <c r="F76" t="s">
        <v>268</v>
      </c>
      <c r="G76" t="s">
        <v>361</v>
      </c>
      <c r="H76" t="s">
        <v>24</v>
      </c>
      <c r="I76" t="s">
        <v>749</v>
      </c>
      <c r="J76" t="s">
        <v>755</v>
      </c>
      <c r="K76">
        <v>475005</v>
      </c>
      <c r="L76" t="s">
        <v>25</v>
      </c>
      <c r="M76" t="s">
        <v>297</v>
      </c>
      <c r="N76" t="s">
        <v>27</v>
      </c>
      <c r="O76" t="s">
        <v>158</v>
      </c>
      <c r="P76" t="s">
        <v>244</v>
      </c>
      <c r="Q76">
        <v>1619.46</v>
      </c>
      <c r="R76">
        <v>1</v>
      </c>
      <c r="S76">
        <v>0.05</v>
      </c>
      <c r="T76">
        <v>171.6</v>
      </c>
    </row>
    <row r="77" spans="1:20" x14ac:dyDescent="0.35">
      <c r="A77">
        <v>76</v>
      </c>
      <c r="B77" t="s">
        <v>362</v>
      </c>
      <c r="C77" s="1">
        <v>45634</v>
      </c>
      <c r="D77" s="1">
        <v>45635</v>
      </c>
      <c r="E77" t="s">
        <v>21</v>
      </c>
      <c r="F77" t="s">
        <v>183</v>
      </c>
      <c r="G77" t="s">
        <v>363</v>
      </c>
      <c r="H77" t="s">
        <v>24</v>
      </c>
      <c r="I77" t="s">
        <v>749</v>
      </c>
      <c r="J77" t="s">
        <v>755</v>
      </c>
      <c r="K77">
        <v>394973</v>
      </c>
      <c r="L77" t="s">
        <v>47</v>
      </c>
      <c r="M77" t="s">
        <v>364</v>
      </c>
      <c r="N77" t="s">
        <v>61</v>
      </c>
      <c r="O77" t="s">
        <v>62</v>
      </c>
      <c r="P77" t="s">
        <v>365</v>
      </c>
      <c r="Q77">
        <v>221.17</v>
      </c>
      <c r="R77">
        <v>4</v>
      </c>
      <c r="S77">
        <v>0.15</v>
      </c>
      <c r="T77">
        <v>72.58</v>
      </c>
    </row>
    <row r="78" spans="1:20" x14ac:dyDescent="0.35">
      <c r="A78">
        <v>77</v>
      </c>
      <c r="B78" t="s">
        <v>366</v>
      </c>
      <c r="C78" s="1">
        <v>45594</v>
      </c>
      <c r="D78" s="1">
        <v>45597</v>
      </c>
      <c r="E78" t="s">
        <v>52</v>
      </c>
      <c r="F78" t="s">
        <v>367</v>
      </c>
      <c r="G78" t="s">
        <v>368</v>
      </c>
      <c r="H78" t="s">
        <v>34</v>
      </c>
      <c r="I78" t="s">
        <v>749</v>
      </c>
      <c r="J78" t="s">
        <v>755</v>
      </c>
      <c r="K78">
        <v>337288</v>
      </c>
      <c r="L78" t="s">
        <v>47</v>
      </c>
      <c r="M78" t="s">
        <v>369</v>
      </c>
      <c r="N78" t="s">
        <v>61</v>
      </c>
      <c r="O78" t="s">
        <v>99</v>
      </c>
      <c r="P78" t="s">
        <v>370</v>
      </c>
      <c r="Q78">
        <v>1436.93</v>
      </c>
      <c r="R78">
        <v>9</v>
      </c>
      <c r="S78">
        <v>0.05</v>
      </c>
      <c r="T78">
        <v>289.14</v>
      </c>
    </row>
    <row r="79" spans="1:20" x14ac:dyDescent="0.35">
      <c r="A79">
        <v>78</v>
      </c>
      <c r="B79" t="s">
        <v>371</v>
      </c>
      <c r="C79" s="1">
        <v>45307</v>
      </c>
      <c r="D79" s="1">
        <v>45313</v>
      </c>
      <c r="E79" t="s">
        <v>52</v>
      </c>
      <c r="F79" t="s">
        <v>145</v>
      </c>
      <c r="G79" t="s">
        <v>372</v>
      </c>
      <c r="H79" t="s">
        <v>67</v>
      </c>
      <c r="I79" t="s">
        <v>749</v>
      </c>
      <c r="J79" t="s">
        <v>755</v>
      </c>
      <c r="K79">
        <v>476178</v>
      </c>
      <c r="L79" t="s">
        <v>35</v>
      </c>
      <c r="M79" t="s">
        <v>270</v>
      </c>
      <c r="N79" t="s">
        <v>37</v>
      </c>
      <c r="O79" t="s">
        <v>49</v>
      </c>
      <c r="P79" t="s">
        <v>129</v>
      </c>
      <c r="Q79">
        <v>108.62</v>
      </c>
      <c r="R79">
        <v>5</v>
      </c>
      <c r="S79">
        <v>0.1</v>
      </c>
      <c r="T79">
        <v>-17.18</v>
      </c>
    </row>
    <row r="80" spans="1:20" x14ac:dyDescent="0.35">
      <c r="A80">
        <v>79</v>
      </c>
      <c r="B80" t="s">
        <v>373</v>
      </c>
      <c r="C80" s="1">
        <v>45537</v>
      </c>
      <c r="D80" s="1">
        <v>45542</v>
      </c>
      <c r="E80" t="s">
        <v>21</v>
      </c>
      <c r="F80" t="s">
        <v>233</v>
      </c>
      <c r="G80" t="s">
        <v>374</v>
      </c>
      <c r="H80" t="s">
        <v>24</v>
      </c>
      <c r="I80" t="s">
        <v>749</v>
      </c>
      <c r="J80" t="s">
        <v>755</v>
      </c>
      <c r="K80">
        <v>217962</v>
      </c>
      <c r="L80" t="s">
        <v>47</v>
      </c>
      <c r="M80" t="s">
        <v>42</v>
      </c>
      <c r="N80" t="s">
        <v>37</v>
      </c>
      <c r="O80" t="s">
        <v>38</v>
      </c>
      <c r="P80" t="s">
        <v>84</v>
      </c>
      <c r="Q80">
        <v>961.36</v>
      </c>
      <c r="R80">
        <v>2</v>
      </c>
      <c r="S80">
        <v>0.05</v>
      </c>
      <c r="T80">
        <v>-13.04</v>
      </c>
    </row>
    <row r="81" spans="1:20" x14ac:dyDescent="0.35">
      <c r="A81">
        <v>80</v>
      </c>
      <c r="B81" t="s">
        <v>375</v>
      </c>
      <c r="C81" s="1">
        <v>45517</v>
      </c>
      <c r="D81" s="1">
        <v>45519</v>
      </c>
      <c r="E81" t="s">
        <v>31</v>
      </c>
      <c r="F81" t="s">
        <v>376</v>
      </c>
      <c r="G81" t="s">
        <v>377</v>
      </c>
      <c r="H81" t="s">
        <v>34</v>
      </c>
      <c r="I81" t="s">
        <v>749</v>
      </c>
      <c r="J81" t="s">
        <v>755</v>
      </c>
      <c r="K81">
        <v>685371</v>
      </c>
      <c r="L81" t="s">
        <v>25</v>
      </c>
      <c r="M81" t="s">
        <v>378</v>
      </c>
      <c r="N81" t="s">
        <v>27</v>
      </c>
      <c r="O81" t="s">
        <v>110</v>
      </c>
      <c r="P81" t="s">
        <v>379</v>
      </c>
      <c r="Q81">
        <v>1894.36</v>
      </c>
      <c r="R81">
        <v>8</v>
      </c>
      <c r="S81">
        <v>0.1</v>
      </c>
      <c r="T81">
        <v>406.87</v>
      </c>
    </row>
    <row r="82" spans="1:20" x14ac:dyDescent="0.35">
      <c r="A82">
        <v>81</v>
      </c>
      <c r="B82" t="s">
        <v>380</v>
      </c>
      <c r="C82" s="1">
        <v>45732</v>
      </c>
      <c r="D82" s="1">
        <v>45738</v>
      </c>
      <c r="E82" t="s">
        <v>21</v>
      </c>
      <c r="F82" t="s">
        <v>233</v>
      </c>
      <c r="G82" t="s">
        <v>381</v>
      </c>
      <c r="H82" t="s">
        <v>34</v>
      </c>
      <c r="I82" t="s">
        <v>749</v>
      </c>
      <c r="J82" t="s">
        <v>755</v>
      </c>
      <c r="K82">
        <v>236002</v>
      </c>
      <c r="L82" t="s">
        <v>25</v>
      </c>
      <c r="M82" t="s">
        <v>382</v>
      </c>
      <c r="N82" t="s">
        <v>37</v>
      </c>
      <c r="O82" t="s">
        <v>49</v>
      </c>
      <c r="P82" t="s">
        <v>383</v>
      </c>
      <c r="Q82">
        <v>1654</v>
      </c>
      <c r="R82">
        <v>2</v>
      </c>
      <c r="S82">
        <v>0</v>
      </c>
      <c r="T82">
        <v>-185.49</v>
      </c>
    </row>
    <row r="83" spans="1:20" x14ac:dyDescent="0.35">
      <c r="A83">
        <v>82</v>
      </c>
      <c r="B83" t="s">
        <v>384</v>
      </c>
      <c r="C83" s="1">
        <v>45486</v>
      </c>
      <c r="D83" s="1">
        <v>45489</v>
      </c>
      <c r="E83" t="s">
        <v>21</v>
      </c>
      <c r="F83" t="s">
        <v>225</v>
      </c>
      <c r="G83" t="s">
        <v>385</v>
      </c>
      <c r="H83" t="s">
        <v>34</v>
      </c>
      <c r="I83" t="s">
        <v>749</v>
      </c>
      <c r="J83" t="s">
        <v>755</v>
      </c>
      <c r="K83">
        <v>360101</v>
      </c>
      <c r="L83" t="s">
        <v>68</v>
      </c>
      <c r="M83" t="s">
        <v>230</v>
      </c>
      <c r="N83" t="s">
        <v>37</v>
      </c>
      <c r="O83" t="s">
        <v>38</v>
      </c>
      <c r="P83" t="s">
        <v>386</v>
      </c>
      <c r="Q83">
        <v>460.02</v>
      </c>
      <c r="R83">
        <v>5</v>
      </c>
      <c r="S83">
        <v>0.2</v>
      </c>
      <c r="T83">
        <v>135.91999999999999</v>
      </c>
    </row>
    <row r="84" spans="1:20" x14ac:dyDescent="0.35">
      <c r="A84">
        <v>83</v>
      </c>
      <c r="B84" t="s">
        <v>387</v>
      </c>
      <c r="C84" s="1">
        <v>45689</v>
      </c>
      <c r="D84" s="1">
        <v>45691</v>
      </c>
      <c r="E84" t="s">
        <v>52</v>
      </c>
      <c r="F84" t="s">
        <v>179</v>
      </c>
      <c r="G84" t="s">
        <v>388</v>
      </c>
      <c r="H84" t="s">
        <v>24</v>
      </c>
      <c r="I84" t="s">
        <v>749</v>
      </c>
      <c r="J84" t="s">
        <v>752</v>
      </c>
      <c r="K84">
        <v>231929</v>
      </c>
      <c r="L84" t="s">
        <v>47</v>
      </c>
      <c r="M84" t="s">
        <v>189</v>
      </c>
      <c r="N84" t="s">
        <v>37</v>
      </c>
      <c r="O84" t="s">
        <v>55</v>
      </c>
      <c r="P84" t="s">
        <v>389</v>
      </c>
      <c r="Q84">
        <v>1917.58</v>
      </c>
      <c r="R84">
        <v>8</v>
      </c>
      <c r="S84">
        <v>0.3</v>
      </c>
      <c r="T84">
        <v>-291.44</v>
      </c>
    </row>
    <row r="85" spans="1:20" x14ac:dyDescent="0.35">
      <c r="A85">
        <v>84</v>
      </c>
      <c r="B85" t="s">
        <v>390</v>
      </c>
      <c r="C85" s="1">
        <v>45804</v>
      </c>
      <c r="D85" s="1">
        <v>45807</v>
      </c>
      <c r="E85" t="s">
        <v>31</v>
      </c>
      <c r="F85" t="s">
        <v>161</v>
      </c>
      <c r="G85" t="s">
        <v>391</v>
      </c>
      <c r="H85" t="s">
        <v>67</v>
      </c>
      <c r="I85" t="s">
        <v>749</v>
      </c>
      <c r="J85" t="s">
        <v>752</v>
      </c>
      <c r="K85">
        <v>606589</v>
      </c>
      <c r="L85" t="s">
        <v>25</v>
      </c>
      <c r="M85" t="s">
        <v>60</v>
      </c>
      <c r="N85" t="s">
        <v>27</v>
      </c>
      <c r="O85" t="s">
        <v>110</v>
      </c>
      <c r="P85" t="s">
        <v>392</v>
      </c>
      <c r="Q85">
        <v>99.66</v>
      </c>
      <c r="R85">
        <v>3</v>
      </c>
      <c r="S85">
        <v>0.3</v>
      </c>
      <c r="T85">
        <v>9.48</v>
      </c>
    </row>
    <row r="86" spans="1:20" x14ac:dyDescent="0.35">
      <c r="A86">
        <v>85</v>
      </c>
      <c r="B86" t="s">
        <v>393</v>
      </c>
      <c r="C86" s="1">
        <v>45366</v>
      </c>
      <c r="D86" s="1">
        <v>45367</v>
      </c>
      <c r="E86" t="s">
        <v>21</v>
      </c>
      <c r="F86" t="s">
        <v>394</v>
      </c>
      <c r="G86" t="s">
        <v>395</v>
      </c>
      <c r="H86" t="s">
        <v>67</v>
      </c>
      <c r="I86" t="s">
        <v>749</v>
      </c>
      <c r="J86" t="s">
        <v>752</v>
      </c>
      <c r="K86">
        <v>615410</v>
      </c>
      <c r="L86" t="s">
        <v>35</v>
      </c>
      <c r="M86" t="s">
        <v>239</v>
      </c>
      <c r="N86" t="s">
        <v>37</v>
      </c>
      <c r="O86" t="s">
        <v>49</v>
      </c>
      <c r="P86" t="s">
        <v>396</v>
      </c>
      <c r="Q86">
        <v>1951.08</v>
      </c>
      <c r="R86">
        <v>7</v>
      </c>
      <c r="S86">
        <v>0.05</v>
      </c>
      <c r="T86">
        <v>-143.38999999999999</v>
      </c>
    </row>
    <row r="87" spans="1:20" x14ac:dyDescent="0.35">
      <c r="A87">
        <v>86</v>
      </c>
      <c r="B87" t="s">
        <v>397</v>
      </c>
      <c r="C87" s="1">
        <v>45430</v>
      </c>
      <c r="D87" s="1">
        <v>45433</v>
      </c>
      <c r="E87" t="s">
        <v>52</v>
      </c>
      <c r="F87" t="s">
        <v>398</v>
      </c>
      <c r="G87" t="s">
        <v>399</v>
      </c>
      <c r="H87" t="s">
        <v>24</v>
      </c>
      <c r="I87" t="s">
        <v>749</v>
      </c>
      <c r="J87" t="s">
        <v>752</v>
      </c>
      <c r="K87">
        <v>233735</v>
      </c>
      <c r="L87" t="s">
        <v>35</v>
      </c>
      <c r="M87" t="s">
        <v>382</v>
      </c>
      <c r="N87" t="s">
        <v>61</v>
      </c>
      <c r="O87" t="s">
        <v>148</v>
      </c>
      <c r="P87" t="s">
        <v>400</v>
      </c>
      <c r="Q87">
        <v>1604.08</v>
      </c>
      <c r="R87">
        <v>4</v>
      </c>
      <c r="S87">
        <v>0.2</v>
      </c>
      <c r="T87">
        <v>466.08</v>
      </c>
    </row>
    <row r="88" spans="1:20" x14ac:dyDescent="0.35">
      <c r="A88">
        <v>87</v>
      </c>
      <c r="B88" t="s">
        <v>401</v>
      </c>
      <c r="C88" s="1">
        <v>45385</v>
      </c>
      <c r="D88" s="1">
        <v>45392</v>
      </c>
      <c r="E88" t="s">
        <v>52</v>
      </c>
      <c r="F88" t="s">
        <v>402</v>
      </c>
      <c r="G88" t="s">
        <v>403</v>
      </c>
      <c r="H88" t="s">
        <v>24</v>
      </c>
      <c r="I88" t="s">
        <v>749</v>
      </c>
      <c r="J88" t="s">
        <v>752</v>
      </c>
      <c r="K88">
        <v>298034</v>
      </c>
      <c r="L88" t="s">
        <v>68</v>
      </c>
      <c r="M88" t="s">
        <v>404</v>
      </c>
      <c r="N88" t="s">
        <v>37</v>
      </c>
      <c r="O88" t="s">
        <v>49</v>
      </c>
      <c r="P88" t="s">
        <v>405</v>
      </c>
      <c r="Q88">
        <v>1065.9100000000001</v>
      </c>
      <c r="R88">
        <v>6</v>
      </c>
      <c r="S88">
        <v>0.05</v>
      </c>
      <c r="T88">
        <v>-125.09</v>
      </c>
    </row>
    <row r="89" spans="1:20" x14ac:dyDescent="0.35">
      <c r="A89">
        <v>88</v>
      </c>
      <c r="B89" t="s">
        <v>406</v>
      </c>
      <c r="C89" s="1">
        <v>45456</v>
      </c>
      <c r="D89" s="1">
        <v>45460</v>
      </c>
      <c r="E89" t="s">
        <v>52</v>
      </c>
      <c r="F89" t="s">
        <v>156</v>
      </c>
      <c r="G89" t="s">
        <v>407</v>
      </c>
      <c r="H89" t="s">
        <v>24</v>
      </c>
      <c r="I89" t="s">
        <v>749</v>
      </c>
      <c r="J89" t="s">
        <v>752</v>
      </c>
      <c r="K89">
        <v>710793</v>
      </c>
      <c r="L89" t="s">
        <v>35</v>
      </c>
      <c r="M89" t="s">
        <v>408</v>
      </c>
      <c r="N89" t="s">
        <v>27</v>
      </c>
      <c r="O89" t="s">
        <v>110</v>
      </c>
      <c r="P89" t="s">
        <v>409</v>
      </c>
      <c r="Q89">
        <v>641.37</v>
      </c>
      <c r="R89">
        <v>4</v>
      </c>
      <c r="S89">
        <v>0</v>
      </c>
      <c r="T89">
        <v>101.49</v>
      </c>
    </row>
    <row r="90" spans="1:20" x14ac:dyDescent="0.35">
      <c r="A90">
        <v>89</v>
      </c>
      <c r="B90" t="s">
        <v>410</v>
      </c>
      <c r="C90" s="1">
        <v>45327</v>
      </c>
      <c r="D90" s="1">
        <v>45333</v>
      </c>
      <c r="E90" t="s">
        <v>21</v>
      </c>
      <c r="F90" t="s">
        <v>145</v>
      </c>
      <c r="G90" t="s">
        <v>411</v>
      </c>
      <c r="H90" t="s">
        <v>24</v>
      </c>
      <c r="I90" t="s">
        <v>749</v>
      </c>
      <c r="J90" t="s">
        <v>752</v>
      </c>
      <c r="K90">
        <v>652063</v>
      </c>
      <c r="L90" t="s">
        <v>47</v>
      </c>
      <c r="M90" t="s">
        <v>412</v>
      </c>
      <c r="N90" t="s">
        <v>27</v>
      </c>
      <c r="O90" t="s">
        <v>158</v>
      </c>
      <c r="P90" t="s">
        <v>312</v>
      </c>
      <c r="Q90">
        <v>415.56</v>
      </c>
      <c r="R90">
        <v>6</v>
      </c>
      <c r="S90">
        <v>0</v>
      </c>
      <c r="T90">
        <v>92.33</v>
      </c>
    </row>
    <row r="91" spans="1:20" x14ac:dyDescent="0.35">
      <c r="A91">
        <v>90</v>
      </c>
      <c r="B91" t="s">
        <v>413</v>
      </c>
      <c r="C91" s="1">
        <v>45312</v>
      </c>
      <c r="D91" s="1">
        <v>45319</v>
      </c>
      <c r="E91" t="s">
        <v>52</v>
      </c>
      <c r="F91" t="s">
        <v>273</v>
      </c>
      <c r="G91" t="s">
        <v>414</v>
      </c>
      <c r="H91" t="s">
        <v>24</v>
      </c>
      <c r="I91" t="s">
        <v>749</v>
      </c>
      <c r="J91" t="s">
        <v>752</v>
      </c>
      <c r="K91">
        <v>690644</v>
      </c>
      <c r="L91" t="s">
        <v>35</v>
      </c>
      <c r="M91" t="s">
        <v>415</v>
      </c>
      <c r="N91" t="s">
        <v>37</v>
      </c>
      <c r="O91" t="s">
        <v>38</v>
      </c>
      <c r="P91" t="s">
        <v>416</v>
      </c>
      <c r="Q91">
        <v>606.63</v>
      </c>
      <c r="R91">
        <v>9</v>
      </c>
      <c r="S91">
        <v>0.3</v>
      </c>
      <c r="T91">
        <v>163.9</v>
      </c>
    </row>
    <row r="92" spans="1:20" x14ac:dyDescent="0.35">
      <c r="A92">
        <v>91</v>
      </c>
      <c r="B92" t="s">
        <v>417</v>
      </c>
      <c r="C92" s="1">
        <v>45501</v>
      </c>
      <c r="D92" s="1">
        <v>45507</v>
      </c>
      <c r="E92" t="s">
        <v>31</v>
      </c>
      <c r="F92" t="s">
        <v>418</v>
      </c>
      <c r="G92" t="s">
        <v>419</v>
      </c>
      <c r="H92" t="s">
        <v>34</v>
      </c>
      <c r="I92" t="s">
        <v>749</v>
      </c>
      <c r="J92" t="s">
        <v>752</v>
      </c>
      <c r="K92">
        <v>241069</v>
      </c>
      <c r="L92" t="s">
        <v>47</v>
      </c>
      <c r="M92" t="s">
        <v>420</v>
      </c>
      <c r="N92" t="s">
        <v>61</v>
      </c>
      <c r="O92" t="s">
        <v>148</v>
      </c>
      <c r="P92" t="s">
        <v>421</v>
      </c>
      <c r="Q92">
        <v>64.81</v>
      </c>
      <c r="R92">
        <v>7</v>
      </c>
      <c r="S92">
        <v>0.1</v>
      </c>
      <c r="T92">
        <v>22.46</v>
      </c>
    </row>
    <row r="93" spans="1:20" x14ac:dyDescent="0.35">
      <c r="A93">
        <v>92</v>
      </c>
      <c r="B93" t="s">
        <v>422</v>
      </c>
      <c r="C93" s="1">
        <v>45424</v>
      </c>
      <c r="D93" s="1">
        <v>45426</v>
      </c>
      <c r="E93" t="s">
        <v>52</v>
      </c>
      <c r="F93" t="s">
        <v>212</v>
      </c>
      <c r="G93" t="s">
        <v>423</v>
      </c>
      <c r="H93" t="s">
        <v>67</v>
      </c>
      <c r="I93" t="s">
        <v>749</v>
      </c>
      <c r="J93" t="s">
        <v>752</v>
      </c>
      <c r="K93">
        <v>801526</v>
      </c>
      <c r="L93" t="s">
        <v>47</v>
      </c>
      <c r="M93" t="s">
        <v>424</v>
      </c>
      <c r="N93" t="s">
        <v>27</v>
      </c>
      <c r="O93" t="s">
        <v>28</v>
      </c>
      <c r="P93" t="s">
        <v>425</v>
      </c>
      <c r="Q93">
        <v>1616.47</v>
      </c>
      <c r="R93">
        <v>1</v>
      </c>
      <c r="S93">
        <v>0.2</v>
      </c>
      <c r="T93">
        <v>-3.41</v>
      </c>
    </row>
    <row r="94" spans="1:20" x14ac:dyDescent="0.35">
      <c r="A94">
        <v>93</v>
      </c>
      <c r="B94" t="s">
        <v>426</v>
      </c>
      <c r="C94" s="1">
        <v>45338</v>
      </c>
      <c r="D94" s="1">
        <v>45342</v>
      </c>
      <c r="E94" t="s">
        <v>21</v>
      </c>
      <c r="F94" t="s">
        <v>77</v>
      </c>
      <c r="G94" t="s">
        <v>427</v>
      </c>
      <c r="H94" t="s">
        <v>24</v>
      </c>
      <c r="I94" t="s">
        <v>749</v>
      </c>
      <c r="J94" t="s">
        <v>752</v>
      </c>
      <c r="K94">
        <v>783312</v>
      </c>
      <c r="L94" t="s">
        <v>25</v>
      </c>
      <c r="M94" t="s">
        <v>428</v>
      </c>
      <c r="N94" t="s">
        <v>37</v>
      </c>
      <c r="O94" t="s">
        <v>55</v>
      </c>
      <c r="P94" t="s">
        <v>389</v>
      </c>
      <c r="Q94">
        <v>933.63</v>
      </c>
      <c r="R94">
        <v>3</v>
      </c>
      <c r="S94">
        <v>0.2</v>
      </c>
      <c r="T94">
        <v>-96.43</v>
      </c>
    </row>
    <row r="95" spans="1:20" x14ac:dyDescent="0.35">
      <c r="A95">
        <v>94</v>
      </c>
      <c r="B95" t="s">
        <v>429</v>
      </c>
      <c r="C95" s="1">
        <v>45811</v>
      </c>
      <c r="D95" s="1">
        <v>45812</v>
      </c>
      <c r="E95" t="s">
        <v>31</v>
      </c>
      <c r="F95" t="s">
        <v>430</v>
      </c>
      <c r="G95" t="s">
        <v>431</v>
      </c>
      <c r="H95" t="s">
        <v>67</v>
      </c>
      <c r="I95" t="s">
        <v>749</v>
      </c>
      <c r="J95" t="s">
        <v>752</v>
      </c>
      <c r="K95">
        <v>824195</v>
      </c>
      <c r="L95" t="s">
        <v>25</v>
      </c>
      <c r="M95" t="s">
        <v>193</v>
      </c>
      <c r="N95" t="s">
        <v>37</v>
      </c>
      <c r="O95" t="s">
        <v>55</v>
      </c>
      <c r="P95" t="s">
        <v>432</v>
      </c>
      <c r="Q95">
        <v>819.38</v>
      </c>
      <c r="R95">
        <v>9</v>
      </c>
      <c r="S95">
        <v>0.2</v>
      </c>
      <c r="T95">
        <v>192.61</v>
      </c>
    </row>
    <row r="96" spans="1:20" x14ac:dyDescent="0.35">
      <c r="A96">
        <v>95</v>
      </c>
      <c r="B96" t="s">
        <v>433</v>
      </c>
      <c r="C96" s="1">
        <v>45748</v>
      </c>
      <c r="D96" s="1">
        <v>45752</v>
      </c>
      <c r="E96" t="s">
        <v>21</v>
      </c>
      <c r="F96" t="s">
        <v>434</v>
      </c>
      <c r="G96" t="s">
        <v>435</v>
      </c>
      <c r="H96" t="s">
        <v>24</v>
      </c>
      <c r="I96" t="s">
        <v>749</v>
      </c>
      <c r="J96" t="s">
        <v>750</v>
      </c>
      <c r="K96">
        <v>898276</v>
      </c>
      <c r="L96" t="s">
        <v>47</v>
      </c>
      <c r="M96" t="s">
        <v>142</v>
      </c>
      <c r="N96" t="s">
        <v>27</v>
      </c>
      <c r="O96" t="s">
        <v>110</v>
      </c>
      <c r="P96" t="s">
        <v>293</v>
      </c>
      <c r="Q96">
        <v>1119.8699999999999</v>
      </c>
      <c r="R96">
        <v>2</v>
      </c>
      <c r="S96">
        <v>0.1</v>
      </c>
      <c r="T96">
        <v>-26.49</v>
      </c>
    </row>
    <row r="97" spans="1:20" x14ac:dyDescent="0.35">
      <c r="A97">
        <v>96</v>
      </c>
      <c r="B97" t="s">
        <v>436</v>
      </c>
      <c r="C97" s="1">
        <v>45531</v>
      </c>
      <c r="D97" s="1">
        <v>45535</v>
      </c>
      <c r="E97" t="s">
        <v>52</v>
      </c>
      <c r="F97" t="s">
        <v>437</v>
      </c>
      <c r="G97" t="s">
        <v>438</v>
      </c>
      <c r="H97" t="s">
        <v>67</v>
      </c>
      <c r="I97" t="s">
        <v>749</v>
      </c>
      <c r="J97" t="s">
        <v>750</v>
      </c>
      <c r="K97">
        <v>980476</v>
      </c>
      <c r="L97" t="s">
        <v>35</v>
      </c>
      <c r="M97" t="s">
        <v>308</v>
      </c>
      <c r="N97" t="s">
        <v>61</v>
      </c>
      <c r="O97" t="s">
        <v>148</v>
      </c>
      <c r="P97" t="s">
        <v>439</v>
      </c>
      <c r="Q97">
        <v>47.79</v>
      </c>
      <c r="R97">
        <v>5</v>
      </c>
      <c r="S97">
        <v>0.2</v>
      </c>
      <c r="T97">
        <v>1.77</v>
      </c>
    </row>
    <row r="98" spans="1:20" x14ac:dyDescent="0.35">
      <c r="A98">
        <v>97</v>
      </c>
      <c r="B98" t="s">
        <v>440</v>
      </c>
      <c r="C98" s="1">
        <v>45797</v>
      </c>
      <c r="D98" s="1">
        <v>45803</v>
      </c>
      <c r="E98" t="s">
        <v>52</v>
      </c>
      <c r="F98" t="s">
        <v>441</v>
      </c>
      <c r="G98" t="s">
        <v>442</v>
      </c>
      <c r="H98" t="s">
        <v>24</v>
      </c>
      <c r="I98" t="s">
        <v>749</v>
      </c>
      <c r="J98" t="s">
        <v>750</v>
      </c>
      <c r="K98">
        <v>291703</v>
      </c>
      <c r="L98" t="s">
        <v>25</v>
      </c>
      <c r="M98" t="s">
        <v>420</v>
      </c>
      <c r="N98" t="s">
        <v>61</v>
      </c>
      <c r="O98" t="s">
        <v>148</v>
      </c>
      <c r="P98" t="s">
        <v>236</v>
      </c>
      <c r="Q98">
        <v>71.12</v>
      </c>
      <c r="R98">
        <v>1</v>
      </c>
      <c r="S98">
        <v>0.15</v>
      </c>
      <c r="T98">
        <v>-7.55</v>
      </c>
    </row>
    <row r="99" spans="1:20" x14ac:dyDescent="0.35">
      <c r="A99">
        <v>98</v>
      </c>
      <c r="B99" t="s">
        <v>443</v>
      </c>
      <c r="C99" s="1">
        <v>45417</v>
      </c>
      <c r="D99" s="1">
        <v>45423</v>
      </c>
      <c r="E99" t="s">
        <v>21</v>
      </c>
      <c r="F99" t="s">
        <v>156</v>
      </c>
      <c r="G99" t="s">
        <v>444</v>
      </c>
      <c r="H99" t="s">
        <v>24</v>
      </c>
      <c r="I99" t="s">
        <v>749</v>
      </c>
      <c r="J99" t="s">
        <v>750</v>
      </c>
      <c r="K99">
        <v>197602</v>
      </c>
      <c r="L99" t="s">
        <v>68</v>
      </c>
      <c r="M99" t="s">
        <v>445</v>
      </c>
      <c r="N99" t="s">
        <v>37</v>
      </c>
      <c r="O99" t="s">
        <v>49</v>
      </c>
      <c r="P99" t="s">
        <v>405</v>
      </c>
      <c r="Q99">
        <v>1710.74</v>
      </c>
      <c r="R99">
        <v>9</v>
      </c>
      <c r="S99">
        <v>0</v>
      </c>
      <c r="T99">
        <v>227.37</v>
      </c>
    </row>
    <row r="100" spans="1:20" x14ac:dyDescent="0.35">
      <c r="A100">
        <v>99</v>
      </c>
      <c r="B100" t="s">
        <v>446</v>
      </c>
      <c r="C100" s="1">
        <v>45632</v>
      </c>
      <c r="D100" s="1">
        <v>45635</v>
      </c>
      <c r="E100" t="s">
        <v>52</v>
      </c>
      <c r="F100" t="s">
        <v>273</v>
      </c>
      <c r="G100" t="s">
        <v>447</v>
      </c>
      <c r="H100" t="s">
        <v>67</v>
      </c>
      <c r="I100" t="s">
        <v>749</v>
      </c>
      <c r="J100" t="s">
        <v>750</v>
      </c>
      <c r="K100">
        <v>876057</v>
      </c>
      <c r="L100" t="s">
        <v>35</v>
      </c>
      <c r="M100" t="s">
        <v>189</v>
      </c>
      <c r="N100" t="s">
        <v>37</v>
      </c>
      <c r="O100" t="s">
        <v>49</v>
      </c>
      <c r="P100" t="s">
        <v>448</v>
      </c>
      <c r="Q100">
        <v>774.26</v>
      </c>
      <c r="R100">
        <v>6</v>
      </c>
      <c r="S100">
        <v>0.05</v>
      </c>
      <c r="T100">
        <v>143.12</v>
      </c>
    </row>
    <row r="101" spans="1:20" x14ac:dyDescent="0.35">
      <c r="A101">
        <v>100</v>
      </c>
      <c r="B101" t="s">
        <v>449</v>
      </c>
      <c r="C101" s="1">
        <v>45492</v>
      </c>
      <c r="D101" s="1">
        <v>45493</v>
      </c>
      <c r="E101" t="s">
        <v>21</v>
      </c>
      <c r="F101" t="s">
        <v>430</v>
      </c>
      <c r="G101" t="s">
        <v>450</v>
      </c>
      <c r="H101" t="s">
        <v>24</v>
      </c>
      <c r="I101" t="s">
        <v>749</v>
      </c>
      <c r="J101" t="s">
        <v>750</v>
      </c>
      <c r="K101">
        <v>129388</v>
      </c>
      <c r="L101" t="s">
        <v>25</v>
      </c>
      <c r="M101" t="s">
        <v>26</v>
      </c>
      <c r="N101" t="s">
        <v>61</v>
      </c>
      <c r="O101" t="s">
        <v>99</v>
      </c>
      <c r="P101" t="s">
        <v>451</v>
      </c>
      <c r="Q101">
        <v>1017.37</v>
      </c>
      <c r="R101">
        <v>2</v>
      </c>
      <c r="S101">
        <v>0.15</v>
      </c>
      <c r="T101">
        <v>-127.02</v>
      </c>
    </row>
    <row r="102" spans="1:20" x14ac:dyDescent="0.35">
      <c r="A102">
        <v>101</v>
      </c>
      <c r="B102" t="s">
        <v>452</v>
      </c>
      <c r="C102" s="1">
        <v>45770</v>
      </c>
      <c r="D102" s="1">
        <v>45776</v>
      </c>
      <c r="E102" t="s">
        <v>21</v>
      </c>
      <c r="F102" t="s">
        <v>45</v>
      </c>
      <c r="G102" t="s">
        <v>453</v>
      </c>
      <c r="H102" t="s">
        <v>67</v>
      </c>
      <c r="I102" t="s">
        <v>749</v>
      </c>
      <c r="J102" t="s">
        <v>750</v>
      </c>
      <c r="K102">
        <v>795844</v>
      </c>
      <c r="L102" t="s">
        <v>25</v>
      </c>
      <c r="M102" t="s">
        <v>275</v>
      </c>
      <c r="N102" t="s">
        <v>37</v>
      </c>
      <c r="O102" t="s">
        <v>55</v>
      </c>
      <c r="P102" t="s">
        <v>454</v>
      </c>
      <c r="Q102">
        <v>1778.18</v>
      </c>
      <c r="R102">
        <v>10</v>
      </c>
      <c r="S102">
        <v>0.1</v>
      </c>
      <c r="T102">
        <v>247.68</v>
      </c>
    </row>
    <row r="103" spans="1:20" x14ac:dyDescent="0.35">
      <c r="A103">
        <v>102</v>
      </c>
      <c r="B103" t="s">
        <v>455</v>
      </c>
      <c r="C103" s="1">
        <v>45383</v>
      </c>
      <c r="D103" s="1">
        <v>45385</v>
      </c>
      <c r="E103" t="s">
        <v>31</v>
      </c>
      <c r="F103" t="s">
        <v>179</v>
      </c>
      <c r="G103" t="s">
        <v>456</v>
      </c>
      <c r="H103" t="s">
        <v>67</v>
      </c>
      <c r="I103" t="s">
        <v>749</v>
      </c>
      <c r="J103" t="s">
        <v>750</v>
      </c>
      <c r="K103">
        <v>428390</v>
      </c>
      <c r="L103" t="s">
        <v>35</v>
      </c>
      <c r="M103" t="s">
        <v>185</v>
      </c>
      <c r="N103" t="s">
        <v>61</v>
      </c>
      <c r="O103" t="s">
        <v>62</v>
      </c>
      <c r="P103" t="s">
        <v>457</v>
      </c>
      <c r="Q103">
        <v>1600.66</v>
      </c>
      <c r="R103">
        <v>8</v>
      </c>
      <c r="S103">
        <v>0</v>
      </c>
      <c r="T103">
        <v>-71.55</v>
      </c>
    </row>
    <row r="104" spans="1:20" x14ac:dyDescent="0.35">
      <c r="A104">
        <v>103</v>
      </c>
      <c r="B104" t="s">
        <v>458</v>
      </c>
      <c r="C104" s="1">
        <v>45813</v>
      </c>
      <c r="D104" s="1">
        <v>45819</v>
      </c>
      <c r="E104" t="s">
        <v>31</v>
      </c>
      <c r="F104" t="s">
        <v>72</v>
      </c>
      <c r="G104" t="s">
        <v>459</v>
      </c>
      <c r="H104" t="s">
        <v>24</v>
      </c>
      <c r="I104" t="s">
        <v>749</v>
      </c>
      <c r="J104" t="s">
        <v>750</v>
      </c>
      <c r="K104">
        <v>291508</v>
      </c>
      <c r="L104" t="s">
        <v>25</v>
      </c>
      <c r="M104" t="s">
        <v>460</v>
      </c>
      <c r="N104" t="s">
        <v>61</v>
      </c>
      <c r="O104" t="s">
        <v>62</v>
      </c>
      <c r="P104" t="s">
        <v>461</v>
      </c>
      <c r="Q104">
        <v>1617.18</v>
      </c>
      <c r="R104">
        <v>8</v>
      </c>
      <c r="S104">
        <v>0.2</v>
      </c>
      <c r="T104">
        <v>-186.39</v>
      </c>
    </row>
    <row r="105" spans="1:20" x14ac:dyDescent="0.35">
      <c r="A105">
        <v>104</v>
      </c>
      <c r="B105" t="s">
        <v>462</v>
      </c>
      <c r="C105" s="1">
        <v>45521</v>
      </c>
      <c r="D105" s="1">
        <v>45527</v>
      </c>
      <c r="E105" t="s">
        <v>31</v>
      </c>
      <c r="F105" t="s">
        <v>306</v>
      </c>
      <c r="G105" t="s">
        <v>463</v>
      </c>
      <c r="H105" t="s">
        <v>34</v>
      </c>
      <c r="I105" t="s">
        <v>749</v>
      </c>
      <c r="J105" t="s">
        <v>750</v>
      </c>
      <c r="K105">
        <v>927143</v>
      </c>
      <c r="L105" t="s">
        <v>25</v>
      </c>
      <c r="M105" t="s">
        <v>464</v>
      </c>
      <c r="N105" t="s">
        <v>37</v>
      </c>
      <c r="O105" t="s">
        <v>55</v>
      </c>
      <c r="P105" t="s">
        <v>194</v>
      </c>
      <c r="Q105">
        <v>1615.79</v>
      </c>
      <c r="R105">
        <v>1</v>
      </c>
      <c r="S105">
        <v>0.05</v>
      </c>
      <c r="T105">
        <v>-23.14</v>
      </c>
    </row>
    <row r="106" spans="1:20" x14ac:dyDescent="0.35">
      <c r="A106">
        <v>105</v>
      </c>
      <c r="B106" t="s">
        <v>465</v>
      </c>
      <c r="C106" s="1">
        <v>45566</v>
      </c>
      <c r="D106" s="1">
        <v>45573</v>
      </c>
      <c r="E106" t="s">
        <v>21</v>
      </c>
      <c r="F106" t="s">
        <v>96</v>
      </c>
      <c r="G106" t="s">
        <v>466</v>
      </c>
      <c r="H106" t="s">
        <v>24</v>
      </c>
      <c r="I106" t="s">
        <v>749</v>
      </c>
      <c r="J106" t="s">
        <v>750</v>
      </c>
      <c r="K106">
        <v>968322</v>
      </c>
      <c r="L106" t="s">
        <v>25</v>
      </c>
      <c r="M106" t="s">
        <v>142</v>
      </c>
      <c r="N106" t="s">
        <v>27</v>
      </c>
      <c r="O106" t="s">
        <v>110</v>
      </c>
      <c r="P106" t="s">
        <v>467</v>
      </c>
      <c r="Q106">
        <v>1122.29</v>
      </c>
      <c r="R106">
        <v>7</v>
      </c>
      <c r="S106">
        <v>0.3</v>
      </c>
      <c r="T106">
        <v>-16.920000000000002</v>
      </c>
    </row>
    <row r="107" spans="1:20" x14ac:dyDescent="0.35">
      <c r="A107">
        <v>106</v>
      </c>
      <c r="B107" t="s">
        <v>468</v>
      </c>
      <c r="C107" s="1">
        <v>45394</v>
      </c>
      <c r="D107" s="1">
        <v>45398</v>
      </c>
      <c r="E107" t="s">
        <v>21</v>
      </c>
      <c r="F107" t="s">
        <v>216</v>
      </c>
      <c r="G107" t="s">
        <v>469</v>
      </c>
      <c r="H107" t="s">
        <v>67</v>
      </c>
      <c r="I107" t="s">
        <v>749</v>
      </c>
      <c r="J107" t="s">
        <v>750</v>
      </c>
      <c r="K107">
        <v>440522</v>
      </c>
      <c r="L107" t="s">
        <v>25</v>
      </c>
      <c r="M107" t="s">
        <v>128</v>
      </c>
      <c r="N107" t="s">
        <v>61</v>
      </c>
      <c r="O107" t="s">
        <v>148</v>
      </c>
      <c r="P107" t="s">
        <v>359</v>
      </c>
      <c r="Q107">
        <v>55.1</v>
      </c>
      <c r="R107">
        <v>10</v>
      </c>
      <c r="S107">
        <v>0</v>
      </c>
      <c r="T107">
        <v>-6.76</v>
      </c>
    </row>
    <row r="108" spans="1:20" x14ac:dyDescent="0.35">
      <c r="A108">
        <v>107</v>
      </c>
      <c r="B108" t="s">
        <v>470</v>
      </c>
      <c r="C108" s="1">
        <v>45607</v>
      </c>
      <c r="D108" s="1">
        <v>45609</v>
      </c>
      <c r="E108" t="s">
        <v>31</v>
      </c>
      <c r="F108" t="s">
        <v>170</v>
      </c>
      <c r="G108" t="s">
        <v>471</v>
      </c>
      <c r="H108" t="s">
        <v>24</v>
      </c>
      <c r="I108" t="s">
        <v>749</v>
      </c>
      <c r="J108" t="s">
        <v>752</v>
      </c>
      <c r="K108">
        <v>675899</v>
      </c>
      <c r="L108" t="s">
        <v>35</v>
      </c>
      <c r="M108" t="s">
        <v>218</v>
      </c>
      <c r="N108" t="s">
        <v>37</v>
      </c>
      <c r="O108" t="s">
        <v>38</v>
      </c>
      <c r="P108" t="s">
        <v>70</v>
      </c>
      <c r="Q108">
        <v>968.62</v>
      </c>
      <c r="R108">
        <v>3</v>
      </c>
      <c r="S108">
        <v>0.2</v>
      </c>
      <c r="T108">
        <v>-152.76</v>
      </c>
    </row>
    <row r="109" spans="1:20" x14ac:dyDescent="0.35">
      <c r="A109">
        <v>108</v>
      </c>
      <c r="B109" t="s">
        <v>472</v>
      </c>
      <c r="C109" s="1">
        <v>45764</v>
      </c>
      <c r="D109" s="1">
        <v>45766</v>
      </c>
      <c r="E109" t="s">
        <v>21</v>
      </c>
      <c r="F109" t="s">
        <v>212</v>
      </c>
      <c r="G109" t="s">
        <v>473</v>
      </c>
      <c r="H109" t="s">
        <v>67</v>
      </c>
      <c r="I109" t="s">
        <v>749</v>
      </c>
      <c r="J109" t="s">
        <v>752</v>
      </c>
      <c r="K109">
        <v>459287</v>
      </c>
      <c r="L109" t="s">
        <v>68</v>
      </c>
      <c r="M109" t="s">
        <v>350</v>
      </c>
      <c r="N109" t="s">
        <v>27</v>
      </c>
      <c r="O109" t="s">
        <v>28</v>
      </c>
      <c r="P109" t="s">
        <v>474</v>
      </c>
      <c r="Q109">
        <v>305.41000000000003</v>
      </c>
      <c r="R109">
        <v>2</v>
      </c>
      <c r="S109">
        <v>0.15</v>
      </c>
      <c r="T109">
        <v>40.200000000000003</v>
      </c>
    </row>
    <row r="110" spans="1:20" x14ac:dyDescent="0.35">
      <c r="A110">
        <v>109</v>
      </c>
      <c r="B110" t="s">
        <v>475</v>
      </c>
      <c r="C110" s="1">
        <v>45800</v>
      </c>
      <c r="D110" s="1">
        <v>45801</v>
      </c>
      <c r="E110" t="s">
        <v>21</v>
      </c>
      <c r="F110" t="s">
        <v>476</v>
      </c>
      <c r="G110" t="s">
        <v>477</v>
      </c>
      <c r="H110" t="s">
        <v>24</v>
      </c>
      <c r="I110" t="s">
        <v>749</v>
      </c>
      <c r="J110" t="s">
        <v>752</v>
      </c>
      <c r="K110">
        <v>656127</v>
      </c>
      <c r="L110" t="s">
        <v>68</v>
      </c>
      <c r="M110" t="s">
        <v>235</v>
      </c>
      <c r="N110" t="s">
        <v>37</v>
      </c>
      <c r="O110" t="s">
        <v>38</v>
      </c>
      <c r="P110" t="s">
        <v>223</v>
      </c>
      <c r="Q110">
        <v>1364.02</v>
      </c>
      <c r="R110">
        <v>4</v>
      </c>
      <c r="S110">
        <v>0.2</v>
      </c>
      <c r="T110">
        <v>64.63</v>
      </c>
    </row>
    <row r="111" spans="1:20" x14ac:dyDescent="0.35">
      <c r="A111">
        <v>110</v>
      </c>
      <c r="B111" t="s">
        <v>478</v>
      </c>
      <c r="C111" s="1">
        <v>45727</v>
      </c>
      <c r="D111" s="1">
        <v>45731</v>
      </c>
      <c r="E111" t="s">
        <v>31</v>
      </c>
      <c r="F111" t="s">
        <v>479</v>
      </c>
      <c r="G111" t="s">
        <v>480</v>
      </c>
      <c r="H111" t="s">
        <v>34</v>
      </c>
      <c r="I111" t="s">
        <v>749</v>
      </c>
      <c r="J111" t="s">
        <v>752</v>
      </c>
      <c r="K111">
        <v>719623</v>
      </c>
      <c r="L111" t="s">
        <v>35</v>
      </c>
      <c r="M111" t="s">
        <v>481</v>
      </c>
      <c r="N111" t="s">
        <v>37</v>
      </c>
      <c r="O111" t="s">
        <v>38</v>
      </c>
      <c r="P111" t="s">
        <v>482</v>
      </c>
      <c r="Q111">
        <v>173.97</v>
      </c>
      <c r="R111">
        <v>1</v>
      </c>
      <c r="S111">
        <v>0</v>
      </c>
      <c r="T111">
        <v>9.19</v>
      </c>
    </row>
    <row r="112" spans="1:20" x14ac:dyDescent="0.35">
      <c r="A112">
        <v>111</v>
      </c>
      <c r="B112" t="s">
        <v>483</v>
      </c>
      <c r="C112" s="1">
        <v>45613</v>
      </c>
      <c r="D112" s="1">
        <v>45619</v>
      </c>
      <c r="E112" t="s">
        <v>21</v>
      </c>
      <c r="F112" t="s">
        <v>156</v>
      </c>
      <c r="G112" t="s">
        <v>484</v>
      </c>
      <c r="H112" t="s">
        <v>67</v>
      </c>
      <c r="I112" t="s">
        <v>749</v>
      </c>
      <c r="J112" t="s">
        <v>752</v>
      </c>
      <c r="K112">
        <v>147555</v>
      </c>
      <c r="L112" t="s">
        <v>68</v>
      </c>
      <c r="M112" t="s">
        <v>189</v>
      </c>
      <c r="N112" t="s">
        <v>27</v>
      </c>
      <c r="O112" t="s">
        <v>158</v>
      </c>
      <c r="P112" t="s">
        <v>485</v>
      </c>
      <c r="Q112">
        <v>1840.67</v>
      </c>
      <c r="R112">
        <v>4</v>
      </c>
      <c r="S112">
        <v>0.3</v>
      </c>
      <c r="T112">
        <v>-353.84</v>
      </c>
    </row>
    <row r="113" spans="1:20" x14ac:dyDescent="0.35">
      <c r="A113">
        <v>112</v>
      </c>
      <c r="B113" t="s">
        <v>486</v>
      </c>
      <c r="C113" s="1">
        <v>45583</v>
      </c>
      <c r="D113" s="1">
        <v>45590</v>
      </c>
      <c r="E113" t="s">
        <v>31</v>
      </c>
      <c r="F113" t="s">
        <v>487</v>
      </c>
      <c r="G113" t="s">
        <v>488</v>
      </c>
      <c r="H113" t="s">
        <v>34</v>
      </c>
      <c r="I113" t="s">
        <v>749</v>
      </c>
      <c r="J113" t="s">
        <v>752</v>
      </c>
      <c r="K113">
        <v>716102</v>
      </c>
      <c r="L113" t="s">
        <v>68</v>
      </c>
      <c r="M113" t="s">
        <v>489</v>
      </c>
      <c r="N113" t="s">
        <v>27</v>
      </c>
      <c r="O113" t="s">
        <v>110</v>
      </c>
      <c r="P113" t="s">
        <v>168</v>
      </c>
      <c r="Q113">
        <v>440.19</v>
      </c>
      <c r="R113">
        <v>9</v>
      </c>
      <c r="S113">
        <v>0.2</v>
      </c>
      <c r="T113">
        <v>-18.36</v>
      </c>
    </row>
    <row r="114" spans="1:20" x14ac:dyDescent="0.35">
      <c r="A114">
        <v>113</v>
      </c>
      <c r="B114" t="s">
        <v>490</v>
      </c>
      <c r="C114" s="1">
        <v>45701</v>
      </c>
      <c r="D114" s="1">
        <v>45702</v>
      </c>
      <c r="E114" t="s">
        <v>21</v>
      </c>
      <c r="F114" t="s">
        <v>357</v>
      </c>
      <c r="G114" t="s">
        <v>491</v>
      </c>
      <c r="H114" t="s">
        <v>34</v>
      </c>
      <c r="I114" t="s">
        <v>749</v>
      </c>
      <c r="J114" t="s">
        <v>752</v>
      </c>
      <c r="K114">
        <v>207892</v>
      </c>
      <c r="L114" t="s">
        <v>25</v>
      </c>
      <c r="M114" t="s">
        <v>492</v>
      </c>
      <c r="N114" t="s">
        <v>61</v>
      </c>
      <c r="O114" t="s">
        <v>62</v>
      </c>
      <c r="P114" t="s">
        <v>493</v>
      </c>
      <c r="Q114">
        <v>1704.32</v>
      </c>
      <c r="R114">
        <v>2</v>
      </c>
      <c r="S114">
        <v>0.05</v>
      </c>
      <c r="T114">
        <v>-136.1</v>
      </c>
    </row>
    <row r="115" spans="1:20" x14ac:dyDescent="0.35">
      <c r="A115">
        <v>114</v>
      </c>
      <c r="B115" t="s">
        <v>494</v>
      </c>
      <c r="C115" s="1">
        <v>45496</v>
      </c>
      <c r="D115" s="1">
        <v>45497</v>
      </c>
      <c r="E115" t="s">
        <v>31</v>
      </c>
      <c r="F115" t="s">
        <v>495</v>
      </c>
      <c r="G115" t="s">
        <v>496</v>
      </c>
      <c r="H115" t="s">
        <v>34</v>
      </c>
      <c r="I115" t="s">
        <v>749</v>
      </c>
      <c r="J115" t="s">
        <v>752</v>
      </c>
      <c r="K115">
        <v>306129</v>
      </c>
      <c r="L115" t="s">
        <v>68</v>
      </c>
      <c r="M115" t="s">
        <v>48</v>
      </c>
      <c r="N115" t="s">
        <v>27</v>
      </c>
      <c r="O115" t="s">
        <v>110</v>
      </c>
      <c r="P115" t="s">
        <v>497</v>
      </c>
      <c r="Q115">
        <v>139.57</v>
      </c>
      <c r="R115">
        <v>3</v>
      </c>
      <c r="S115">
        <v>0.2</v>
      </c>
      <c r="T115">
        <v>-1.8</v>
      </c>
    </row>
    <row r="116" spans="1:20" x14ac:dyDescent="0.35">
      <c r="A116">
        <v>115</v>
      </c>
      <c r="B116" t="s">
        <v>498</v>
      </c>
      <c r="C116" s="1">
        <v>45619</v>
      </c>
      <c r="D116" s="1">
        <v>45625</v>
      </c>
      <c r="E116" t="s">
        <v>52</v>
      </c>
      <c r="F116" t="s">
        <v>248</v>
      </c>
      <c r="G116" t="s">
        <v>499</v>
      </c>
      <c r="H116" t="s">
        <v>67</v>
      </c>
      <c r="I116" t="s">
        <v>749</v>
      </c>
      <c r="J116" t="s">
        <v>752</v>
      </c>
      <c r="K116">
        <v>369720</v>
      </c>
      <c r="L116" t="s">
        <v>25</v>
      </c>
      <c r="M116" t="s">
        <v>500</v>
      </c>
      <c r="N116" t="s">
        <v>27</v>
      </c>
      <c r="O116" t="s">
        <v>28</v>
      </c>
      <c r="P116" t="s">
        <v>501</v>
      </c>
      <c r="Q116">
        <v>54.08</v>
      </c>
      <c r="R116">
        <v>1</v>
      </c>
      <c r="S116">
        <v>0.2</v>
      </c>
      <c r="T116">
        <v>15.26</v>
      </c>
    </row>
    <row r="117" spans="1:20" x14ac:dyDescent="0.35">
      <c r="A117">
        <v>116</v>
      </c>
      <c r="B117" t="s">
        <v>502</v>
      </c>
      <c r="C117" s="1">
        <v>45431</v>
      </c>
      <c r="D117" s="1">
        <v>45438</v>
      </c>
      <c r="E117" t="s">
        <v>31</v>
      </c>
      <c r="F117" t="s">
        <v>179</v>
      </c>
      <c r="G117" t="s">
        <v>503</v>
      </c>
      <c r="H117" t="s">
        <v>34</v>
      </c>
      <c r="I117" t="s">
        <v>749</v>
      </c>
      <c r="J117" t="s">
        <v>752</v>
      </c>
      <c r="K117">
        <v>234664</v>
      </c>
      <c r="L117" t="s">
        <v>35</v>
      </c>
      <c r="M117" t="s">
        <v>176</v>
      </c>
      <c r="N117" t="s">
        <v>37</v>
      </c>
      <c r="O117" t="s">
        <v>38</v>
      </c>
      <c r="P117" t="s">
        <v>288</v>
      </c>
      <c r="Q117">
        <v>1939.78</v>
      </c>
      <c r="R117">
        <v>10</v>
      </c>
      <c r="S117">
        <v>0.05</v>
      </c>
      <c r="T117">
        <v>475.38</v>
      </c>
    </row>
    <row r="118" spans="1:20" x14ac:dyDescent="0.35">
      <c r="A118">
        <v>117</v>
      </c>
      <c r="B118" t="s">
        <v>504</v>
      </c>
      <c r="C118" s="1">
        <v>45536</v>
      </c>
      <c r="D118" s="1">
        <v>45541</v>
      </c>
      <c r="E118" t="s">
        <v>52</v>
      </c>
      <c r="F118" t="s">
        <v>174</v>
      </c>
      <c r="G118" t="s">
        <v>505</v>
      </c>
      <c r="H118" t="s">
        <v>24</v>
      </c>
      <c r="I118" t="s">
        <v>749</v>
      </c>
      <c r="J118" t="s">
        <v>752</v>
      </c>
      <c r="K118">
        <v>939593</v>
      </c>
      <c r="L118" t="s">
        <v>47</v>
      </c>
      <c r="M118" t="s">
        <v>239</v>
      </c>
      <c r="N118" t="s">
        <v>37</v>
      </c>
      <c r="O118" t="s">
        <v>38</v>
      </c>
      <c r="P118" t="s">
        <v>416</v>
      </c>
      <c r="Q118">
        <v>1512.42</v>
      </c>
      <c r="R118">
        <v>4</v>
      </c>
      <c r="S118">
        <v>0.05</v>
      </c>
      <c r="T118">
        <v>344.72</v>
      </c>
    </row>
    <row r="119" spans="1:20" x14ac:dyDescent="0.35">
      <c r="A119">
        <v>118</v>
      </c>
      <c r="B119" t="s">
        <v>506</v>
      </c>
      <c r="C119" s="1">
        <v>45527</v>
      </c>
      <c r="D119" s="1">
        <v>45530</v>
      </c>
      <c r="E119" t="s">
        <v>21</v>
      </c>
      <c r="F119" t="s">
        <v>196</v>
      </c>
      <c r="G119" t="s">
        <v>507</v>
      </c>
      <c r="H119" t="s">
        <v>67</v>
      </c>
      <c r="I119" t="s">
        <v>749</v>
      </c>
      <c r="J119" t="s">
        <v>752</v>
      </c>
      <c r="K119">
        <v>517302</v>
      </c>
      <c r="L119" t="s">
        <v>35</v>
      </c>
      <c r="M119" t="s">
        <v>88</v>
      </c>
      <c r="N119" t="s">
        <v>27</v>
      </c>
      <c r="O119" t="s">
        <v>28</v>
      </c>
      <c r="P119" t="s">
        <v>29</v>
      </c>
      <c r="Q119">
        <v>1396.13</v>
      </c>
      <c r="R119">
        <v>8</v>
      </c>
      <c r="S119">
        <v>0.15</v>
      </c>
      <c r="T119">
        <v>-24.6</v>
      </c>
    </row>
    <row r="120" spans="1:20" x14ac:dyDescent="0.35">
      <c r="A120">
        <v>119</v>
      </c>
      <c r="B120" t="s">
        <v>508</v>
      </c>
      <c r="C120" s="1">
        <v>45756</v>
      </c>
      <c r="D120" s="1">
        <v>45760</v>
      </c>
      <c r="E120" t="s">
        <v>21</v>
      </c>
      <c r="F120" t="s">
        <v>165</v>
      </c>
      <c r="G120" t="s">
        <v>509</v>
      </c>
      <c r="H120" t="s">
        <v>34</v>
      </c>
      <c r="I120" t="s">
        <v>749</v>
      </c>
      <c r="J120" t="s">
        <v>751</v>
      </c>
      <c r="K120">
        <v>109375</v>
      </c>
      <c r="L120" t="s">
        <v>25</v>
      </c>
      <c r="M120" t="s">
        <v>350</v>
      </c>
      <c r="N120" t="s">
        <v>27</v>
      </c>
      <c r="O120" t="s">
        <v>158</v>
      </c>
      <c r="P120" t="s">
        <v>510</v>
      </c>
      <c r="Q120">
        <v>1307.56</v>
      </c>
      <c r="R120">
        <v>8</v>
      </c>
      <c r="S120">
        <v>0.15</v>
      </c>
      <c r="T120">
        <v>79.09</v>
      </c>
    </row>
    <row r="121" spans="1:20" x14ac:dyDescent="0.35">
      <c r="A121">
        <v>120</v>
      </c>
      <c r="B121" t="s">
        <v>511</v>
      </c>
      <c r="C121" s="1">
        <v>45358</v>
      </c>
      <c r="D121" s="1">
        <v>45361</v>
      </c>
      <c r="E121" t="s">
        <v>31</v>
      </c>
      <c r="F121" t="s">
        <v>394</v>
      </c>
      <c r="G121" t="s">
        <v>512</v>
      </c>
      <c r="H121" t="s">
        <v>24</v>
      </c>
      <c r="I121" t="s">
        <v>749</v>
      </c>
      <c r="J121" t="s">
        <v>751</v>
      </c>
      <c r="K121">
        <v>569029</v>
      </c>
      <c r="L121" t="s">
        <v>47</v>
      </c>
      <c r="M121" t="s">
        <v>415</v>
      </c>
      <c r="N121" t="s">
        <v>27</v>
      </c>
      <c r="O121" t="s">
        <v>158</v>
      </c>
      <c r="P121" t="s">
        <v>244</v>
      </c>
      <c r="Q121">
        <v>1845.32</v>
      </c>
      <c r="R121">
        <v>8</v>
      </c>
      <c r="S121">
        <v>0.3</v>
      </c>
      <c r="T121">
        <v>-310.37</v>
      </c>
    </row>
    <row r="122" spans="1:20" x14ac:dyDescent="0.35">
      <c r="A122">
        <v>121</v>
      </c>
      <c r="B122" t="s">
        <v>513</v>
      </c>
      <c r="C122" s="1">
        <v>45618</v>
      </c>
      <c r="D122" s="1">
        <v>45625</v>
      </c>
      <c r="E122" t="s">
        <v>31</v>
      </c>
      <c r="F122" t="s">
        <v>136</v>
      </c>
      <c r="G122" t="s">
        <v>514</v>
      </c>
      <c r="H122" t="s">
        <v>67</v>
      </c>
      <c r="I122" t="s">
        <v>749</v>
      </c>
      <c r="J122" t="s">
        <v>751</v>
      </c>
      <c r="K122">
        <v>974730</v>
      </c>
      <c r="L122" t="s">
        <v>47</v>
      </c>
      <c r="M122" t="s">
        <v>515</v>
      </c>
      <c r="N122" t="s">
        <v>61</v>
      </c>
      <c r="O122" t="s">
        <v>99</v>
      </c>
      <c r="P122" t="s">
        <v>124</v>
      </c>
      <c r="Q122">
        <v>1262.69</v>
      </c>
      <c r="R122">
        <v>1</v>
      </c>
      <c r="S122">
        <v>0.1</v>
      </c>
      <c r="T122">
        <v>-11.4</v>
      </c>
    </row>
    <row r="123" spans="1:20" x14ac:dyDescent="0.35">
      <c r="A123">
        <v>122</v>
      </c>
      <c r="B123" t="s">
        <v>516</v>
      </c>
      <c r="C123" s="1">
        <v>45405</v>
      </c>
      <c r="D123" s="1">
        <v>45409</v>
      </c>
      <c r="E123" t="s">
        <v>31</v>
      </c>
      <c r="F123" t="s">
        <v>517</v>
      </c>
      <c r="G123" t="s">
        <v>518</v>
      </c>
      <c r="H123" t="s">
        <v>34</v>
      </c>
      <c r="I123" t="s">
        <v>749</v>
      </c>
      <c r="J123" t="s">
        <v>751</v>
      </c>
      <c r="K123">
        <v>506758</v>
      </c>
      <c r="L123" t="s">
        <v>35</v>
      </c>
      <c r="M123" t="s">
        <v>354</v>
      </c>
      <c r="N123" t="s">
        <v>61</v>
      </c>
      <c r="O123" t="s">
        <v>62</v>
      </c>
      <c r="P123" t="s">
        <v>519</v>
      </c>
      <c r="Q123">
        <v>1981.43</v>
      </c>
      <c r="R123">
        <v>6</v>
      </c>
      <c r="S123">
        <v>0</v>
      </c>
      <c r="T123">
        <v>-243.37</v>
      </c>
    </row>
    <row r="124" spans="1:20" x14ac:dyDescent="0.35">
      <c r="A124">
        <v>123</v>
      </c>
      <c r="B124" t="s">
        <v>520</v>
      </c>
      <c r="C124" s="1">
        <v>45759</v>
      </c>
      <c r="D124" s="1">
        <v>45766</v>
      </c>
      <c r="E124" t="s">
        <v>52</v>
      </c>
      <c r="F124" t="s">
        <v>324</v>
      </c>
      <c r="G124" t="s">
        <v>521</v>
      </c>
      <c r="H124" t="s">
        <v>34</v>
      </c>
      <c r="I124" t="s">
        <v>749</v>
      </c>
      <c r="J124" t="s">
        <v>751</v>
      </c>
      <c r="K124">
        <v>819418</v>
      </c>
      <c r="L124" t="s">
        <v>25</v>
      </c>
      <c r="M124" t="s">
        <v>522</v>
      </c>
      <c r="N124" t="s">
        <v>61</v>
      </c>
      <c r="O124" t="s">
        <v>62</v>
      </c>
      <c r="P124" t="s">
        <v>461</v>
      </c>
      <c r="Q124">
        <v>1944.35</v>
      </c>
      <c r="R124">
        <v>10</v>
      </c>
      <c r="S124">
        <v>0.1</v>
      </c>
      <c r="T124">
        <v>-139.09</v>
      </c>
    </row>
    <row r="125" spans="1:20" x14ac:dyDescent="0.35">
      <c r="A125">
        <v>124</v>
      </c>
      <c r="B125" t="s">
        <v>523</v>
      </c>
      <c r="C125" s="1">
        <v>45400</v>
      </c>
      <c r="D125" s="1">
        <v>45405</v>
      </c>
      <c r="E125" t="s">
        <v>31</v>
      </c>
      <c r="F125" t="s">
        <v>295</v>
      </c>
      <c r="G125" t="s">
        <v>524</v>
      </c>
      <c r="H125" t="s">
        <v>34</v>
      </c>
      <c r="I125" t="s">
        <v>749</v>
      </c>
      <c r="J125" t="s">
        <v>751</v>
      </c>
      <c r="K125">
        <v>913585</v>
      </c>
      <c r="L125" t="s">
        <v>68</v>
      </c>
      <c r="M125" t="s">
        <v>172</v>
      </c>
      <c r="N125" t="s">
        <v>37</v>
      </c>
      <c r="O125" t="s">
        <v>55</v>
      </c>
      <c r="P125" t="s">
        <v>525</v>
      </c>
      <c r="Q125">
        <v>528.55999999999995</v>
      </c>
      <c r="R125">
        <v>2</v>
      </c>
      <c r="S125">
        <v>0.3</v>
      </c>
      <c r="T125">
        <v>149.44999999999999</v>
      </c>
    </row>
    <row r="126" spans="1:20" x14ac:dyDescent="0.35">
      <c r="A126">
        <v>125</v>
      </c>
      <c r="B126" t="s">
        <v>526</v>
      </c>
      <c r="C126" s="1">
        <v>45336</v>
      </c>
      <c r="D126" s="1">
        <v>45337</v>
      </c>
      <c r="E126" t="s">
        <v>52</v>
      </c>
      <c r="F126" t="s">
        <v>58</v>
      </c>
      <c r="G126" t="s">
        <v>527</v>
      </c>
      <c r="H126" t="s">
        <v>24</v>
      </c>
      <c r="I126" t="s">
        <v>749</v>
      </c>
      <c r="J126" t="s">
        <v>751</v>
      </c>
      <c r="K126">
        <v>769276</v>
      </c>
      <c r="L126" t="s">
        <v>68</v>
      </c>
      <c r="M126" t="s">
        <v>142</v>
      </c>
      <c r="N126" t="s">
        <v>27</v>
      </c>
      <c r="O126" t="s">
        <v>110</v>
      </c>
      <c r="P126" t="s">
        <v>163</v>
      </c>
      <c r="Q126">
        <v>1474.78</v>
      </c>
      <c r="R126">
        <v>1</v>
      </c>
      <c r="S126">
        <v>0.1</v>
      </c>
      <c r="T126">
        <v>459.24</v>
      </c>
    </row>
    <row r="127" spans="1:20" x14ac:dyDescent="0.35">
      <c r="A127">
        <v>126</v>
      </c>
      <c r="B127" t="s">
        <v>528</v>
      </c>
      <c r="C127" s="1">
        <v>45485</v>
      </c>
      <c r="D127" s="1">
        <v>45489</v>
      </c>
      <c r="E127" t="s">
        <v>31</v>
      </c>
      <c r="F127" t="s">
        <v>418</v>
      </c>
      <c r="G127" t="s">
        <v>529</v>
      </c>
      <c r="H127" t="s">
        <v>67</v>
      </c>
      <c r="I127" t="s">
        <v>749</v>
      </c>
      <c r="J127" t="s">
        <v>751</v>
      </c>
      <c r="K127">
        <v>234129</v>
      </c>
      <c r="L127" t="s">
        <v>47</v>
      </c>
      <c r="M127" t="s">
        <v>185</v>
      </c>
      <c r="N127" t="s">
        <v>61</v>
      </c>
      <c r="O127" t="s">
        <v>148</v>
      </c>
      <c r="P127" t="s">
        <v>236</v>
      </c>
      <c r="Q127">
        <v>222.93</v>
      </c>
      <c r="R127">
        <v>2</v>
      </c>
      <c r="S127">
        <v>0.05</v>
      </c>
      <c r="T127">
        <v>32.85</v>
      </c>
    </row>
    <row r="128" spans="1:20" x14ac:dyDescent="0.35">
      <c r="A128">
        <v>127</v>
      </c>
      <c r="B128" t="s">
        <v>530</v>
      </c>
      <c r="C128" s="1">
        <v>45491</v>
      </c>
      <c r="D128" s="1">
        <v>45492</v>
      </c>
      <c r="E128" t="s">
        <v>31</v>
      </c>
      <c r="F128" t="s">
        <v>487</v>
      </c>
      <c r="G128" t="s">
        <v>531</v>
      </c>
      <c r="H128" t="s">
        <v>34</v>
      </c>
      <c r="I128" t="s">
        <v>749</v>
      </c>
      <c r="J128" t="s">
        <v>751</v>
      </c>
      <c r="K128">
        <v>106307</v>
      </c>
      <c r="L128" t="s">
        <v>35</v>
      </c>
      <c r="M128" t="s">
        <v>354</v>
      </c>
      <c r="N128" t="s">
        <v>37</v>
      </c>
      <c r="O128" t="s">
        <v>55</v>
      </c>
      <c r="P128" t="s">
        <v>389</v>
      </c>
      <c r="Q128">
        <v>1745.8</v>
      </c>
      <c r="R128">
        <v>5</v>
      </c>
      <c r="S128">
        <v>0.15</v>
      </c>
      <c r="T128">
        <v>206.16</v>
      </c>
    </row>
    <row r="129" spans="1:20" x14ac:dyDescent="0.35">
      <c r="A129">
        <v>128</v>
      </c>
      <c r="B129" t="s">
        <v>532</v>
      </c>
      <c r="C129" s="1">
        <v>45746</v>
      </c>
      <c r="D129" s="1">
        <v>45753</v>
      </c>
      <c r="E129" t="s">
        <v>31</v>
      </c>
      <c r="F129" t="s">
        <v>268</v>
      </c>
      <c r="G129" t="s">
        <v>533</v>
      </c>
      <c r="H129" t="s">
        <v>24</v>
      </c>
      <c r="I129" t="s">
        <v>749</v>
      </c>
      <c r="J129" t="s">
        <v>751</v>
      </c>
      <c r="K129">
        <v>401108</v>
      </c>
      <c r="L129" t="s">
        <v>68</v>
      </c>
      <c r="M129" t="s">
        <v>214</v>
      </c>
      <c r="N129" t="s">
        <v>61</v>
      </c>
      <c r="O129" t="s">
        <v>99</v>
      </c>
      <c r="P129" t="s">
        <v>100</v>
      </c>
      <c r="Q129">
        <v>1773.96</v>
      </c>
      <c r="R129">
        <v>10</v>
      </c>
      <c r="S129">
        <v>0.1</v>
      </c>
      <c r="T129">
        <v>475.87</v>
      </c>
    </row>
    <row r="130" spans="1:20" x14ac:dyDescent="0.35">
      <c r="A130">
        <v>129</v>
      </c>
      <c r="B130" t="s">
        <v>534</v>
      </c>
      <c r="C130" s="1">
        <v>45438</v>
      </c>
      <c r="D130" s="1">
        <v>45440</v>
      </c>
      <c r="E130" t="s">
        <v>31</v>
      </c>
      <c r="F130" t="s">
        <v>208</v>
      </c>
      <c r="G130" t="s">
        <v>535</v>
      </c>
      <c r="H130" t="s">
        <v>67</v>
      </c>
      <c r="I130" t="s">
        <v>749</v>
      </c>
      <c r="J130" t="s">
        <v>751</v>
      </c>
      <c r="K130">
        <v>745696</v>
      </c>
      <c r="L130" t="s">
        <v>35</v>
      </c>
      <c r="M130" t="s">
        <v>536</v>
      </c>
      <c r="N130" t="s">
        <v>27</v>
      </c>
      <c r="O130" t="s">
        <v>110</v>
      </c>
      <c r="P130" t="s">
        <v>168</v>
      </c>
      <c r="Q130">
        <v>686.44</v>
      </c>
      <c r="R130">
        <v>5</v>
      </c>
      <c r="S130">
        <v>0.3</v>
      </c>
      <c r="T130">
        <v>-123.56</v>
      </c>
    </row>
    <row r="131" spans="1:20" x14ac:dyDescent="0.35">
      <c r="A131">
        <v>130</v>
      </c>
      <c r="B131" t="s">
        <v>537</v>
      </c>
      <c r="C131" s="1">
        <v>45577</v>
      </c>
      <c r="D131" s="1">
        <v>45578</v>
      </c>
      <c r="E131" t="s">
        <v>31</v>
      </c>
      <c r="F131" t="s">
        <v>538</v>
      </c>
      <c r="G131" t="s">
        <v>539</v>
      </c>
      <c r="H131" t="s">
        <v>67</v>
      </c>
      <c r="I131" t="s">
        <v>749</v>
      </c>
      <c r="J131" t="s">
        <v>751</v>
      </c>
      <c r="K131">
        <v>236670</v>
      </c>
      <c r="L131" t="s">
        <v>35</v>
      </c>
      <c r="M131" t="s">
        <v>445</v>
      </c>
      <c r="N131" t="s">
        <v>61</v>
      </c>
      <c r="O131" t="s">
        <v>148</v>
      </c>
      <c r="P131" t="s">
        <v>540</v>
      </c>
      <c r="Q131">
        <v>364.46</v>
      </c>
      <c r="R131">
        <v>9</v>
      </c>
      <c r="S131">
        <v>0.2</v>
      </c>
      <c r="T131">
        <v>-28.02</v>
      </c>
    </row>
    <row r="132" spans="1:20" x14ac:dyDescent="0.35">
      <c r="A132">
        <v>131</v>
      </c>
      <c r="B132" t="s">
        <v>541</v>
      </c>
      <c r="C132" s="1">
        <v>45421</v>
      </c>
      <c r="D132" s="1">
        <v>45422</v>
      </c>
      <c r="E132" t="s">
        <v>21</v>
      </c>
      <c r="F132" t="s">
        <v>113</v>
      </c>
      <c r="G132" t="s">
        <v>542</v>
      </c>
      <c r="H132" t="s">
        <v>34</v>
      </c>
      <c r="I132" t="s">
        <v>749</v>
      </c>
      <c r="J132" t="s">
        <v>751</v>
      </c>
      <c r="K132">
        <v>676452</v>
      </c>
      <c r="L132" t="s">
        <v>68</v>
      </c>
      <c r="M132" t="s">
        <v>543</v>
      </c>
      <c r="N132" t="s">
        <v>37</v>
      </c>
      <c r="O132" t="s">
        <v>38</v>
      </c>
      <c r="P132" t="s">
        <v>223</v>
      </c>
      <c r="Q132">
        <v>846.35</v>
      </c>
      <c r="R132">
        <v>2</v>
      </c>
      <c r="S132">
        <v>0.1</v>
      </c>
      <c r="T132">
        <v>166.23</v>
      </c>
    </row>
    <row r="133" spans="1:20" x14ac:dyDescent="0.35">
      <c r="A133">
        <v>132</v>
      </c>
      <c r="B133" t="s">
        <v>544</v>
      </c>
      <c r="C133" s="1">
        <v>45675</v>
      </c>
      <c r="D133" s="1">
        <v>45678</v>
      </c>
      <c r="E133" t="s">
        <v>31</v>
      </c>
      <c r="F133" t="s">
        <v>402</v>
      </c>
      <c r="G133" t="s">
        <v>545</v>
      </c>
      <c r="H133" t="s">
        <v>67</v>
      </c>
      <c r="I133" t="s">
        <v>749</v>
      </c>
      <c r="J133" t="s">
        <v>751</v>
      </c>
      <c r="K133">
        <v>417473</v>
      </c>
      <c r="L133" t="s">
        <v>25</v>
      </c>
      <c r="M133" t="s">
        <v>546</v>
      </c>
      <c r="N133" t="s">
        <v>37</v>
      </c>
      <c r="O133" t="s">
        <v>49</v>
      </c>
      <c r="P133" t="s">
        <v>258</v>
      </c>
      <c r="Q133">
        <v>921.56</v>
      </c>
      <c r="R133">
        <v>5</v>
      </c>
      <c r="S133">
        <v>0.1</v>
      </c>
      <c r="T133">
        <v>81.48</v>
      </c>
    </row>
    <row r="134" spans="1:20" x14ac:dyDescent="0.35">
      <c r="A134">
        <v>133</v>
      </c>
      <c r="B134" t="s">
        <v>547</v>
      </c>
      <c r="C134" s="1">
        <v>45494</v>
      </c>
      <c r="D134" s="1">
        <v>45495</v>
      </c>
      <c r="E134" t="s">
        <v>52</v>
      </c>
      <c r="F134" t="s">
        <v>107</v>
      </c>
      <c r="G134" t="s">
        <v>548</v>
      </c>
      <c r="H134" t="s">
        <v>24</v>
      </c>
      <c r="I134" t="s">
        <v>749</v>
      </c>
      <c r="J134" t="s">
        <v>751</v>
      </c>
      <c r="K134">
        <v>782360</v>
      </c>
      <c r="L134" t="s">
        <v>35</v>
      </c>
      <c r="M134" t="s">
        <v>460</v>
      </c>
      <c r="N134" t="s">
        <v>27</v>
      </c>
      <c r="O134" t="s">
        <v>110</v>
      </c>
      <c r="P134" t="s">
        <v>549</v>
      </c>
      <c r="Q134">
        <v>547.16</v>
      </c>
      <c r="R134">
        <v>9</v>
      </c>
      <c r="S134">
        <v>0</v>
      </c>
      <c r="T134">
        <v>32.04</v>
      </c>
    </row>
    <row r="135" spans="1:20" x14ac:dyDescent="0.35">
      <c r="A135">
        <v>134</v>
      </c>
      <c r="B135" t="s">
        <v>550</v>
      </c>
      <c r="C135" s="1">
        <v>45791</v>
      </c>
      <c r="D135" s="1">
        <v>45795</v>
      </c>
      <c r="E135" t="s">
        <v>52</v>
      </c>
      <c r="F135" t="s">
        <v>216</v>
      </c>
      <c r="G135" t="s">
        <v>551</v>
      </c>
      <c r="H135" t="s">
        <v>34</v>
      </c>
      <c r="I135" t="s">
        <v>749</v>
      </c>
      <c r="J135" t="s">
        <v>751</v>
      </c>
      <c r="K135">
        <v>285074</v>
      </c>
      <c r="L135" t="s">
        <v>68</v>
      </c>
      <c r="M135" t="s">
        <v>552</v>
      </c>
      <c r="N135" t="s">
        <v>27</v>
      </c>
      <c r="O135" t="s">
        <v>158</v>
      </c>
      <c r="P135" t="s">
        <v>553</v>
      </c>
      <c r="Q135">
        <v>517.71</v>
      </c>
      <c r="R135">
        <v>4</v>
      </c>
      <c r="S135">
        <v>0.1</v>
      </c>
      <c r="T135">
        <v>20.399999999999999</v>
      </c>
    </row>
    <row r="136" spans="1:20" x14ac:dyDescent="0.35">
      <c r="A136">
        <v>135</v>
      </c>
      <c r="B136" t="s">
        <v>554</v>
      </c>
      <c r="C136" s="1">
        <v>45649</v>
      </c>
      <c r="D136" s="1">
        <v>45653</v>
      </c>
      <c r="E136" t="s">
        <v>52</v>
      </c>
      <c r="F136" t="s">
        <v>555</v>
      </c>
      <c r="G136" t="s">
        <v>556</v>
      </c>
      <c r="H136" t="s">
        <v>67</v>
      </c>
      <c r="I136" t="s">
        <v>749</v>
      </c>
      <c r="J136" t="s">
        <v>751</v>
      </c>
      <c r="K136">
        <v>289346</v>
      </c>
      <c r="L136" t="s">
        <v>47</v>
      </c>
      <c r="M136" t="s">
        <v>93</v>
      </c>
      <c r="N136" t="s">
        <v>27</v>
      </c>
      <c r="O136" t="s">
        <v>158</v>
      </c>
      <c r="P136" t="s">
        <v>557</v>
      </c>
      <c r="Q136">
        <v>1388.6</v>
      </c>
      <c r="R136">
        <v>3</v>
      </c>
      <c r="S136">
        <v>0.05</v>
      </c>
      <c r="T136">
        <v>263.52</v>
      </c>
    </row>
    <row r="137" spans="1:20" x14ac:dyDescent="0.35">
      <c r="A137">
        <v>136</v>
      </c>
      <c r="B137" t="s">
        <v>558</v>
      </c>
      <c r="C137" s="1">
        <v>45386</v>
      </c>
      <c r="D137" s="1">
        <v>45389</v>
      </c>
      <c r="E137" t="s">
        <v>31</v>
      </c>
      <c r="F137" t="s">
        <v>282</v>
      </c>
      <c r="G137" t="s">
        <v>559</v>
      </c>
      <c r="H137" t="s">
        <v>24</v>
      </c>
      <c r="I137" t="s">
        <v>749</v>
      </c>
      <c r="J137" t="s">
        <v>751</v>
      </c>
      <c r="K137">
        <v>216615</v>
      </c>
      <c r="L137" t="s">
        <v>35</v>
      </c>
      <c r="M137" t="s">
        <v>543</v>
      </c>
      <c r="N137" t="s">
        <v>37</v>
      </c>
      <c r="O137" t="s">
        <v>55</v>
      </c>
      <c r="P137" t="s">
        <v>56</v>
      </c>
      <c r="Q137">
        <v>1153.46</v>
      </c>
      <c r="R137">
        <v>10</v>
      </c>
      <c r="S137">
        <v>0.3</v>
      </c>
      <c r="T137">
        <v>266.11</v>
      </c>
    </row>
    <row r="138" spans="1:20" x14ac:dyDescent="0.35">
      <c r="A138">
        <v>137</v>
      </c>
      <c r="B138" t="s">
        <v>560</v>
      </c>
      <c r="C138" s="1">
        <v>45815</v>
      </c>
      <c r="D138" s="1">
        <v>45822</v>
      </c>
      <c r="E138" t="s">
        <v>31</v>
      </c>
      <c r="F138" t="s">
        <v>402</v>
      </c>
      <c r="G138" t="s">
        <v>561</v>
      </c>
      <c r="H138" t="s">
        <v>67</v>
      </c>
      <c r="I138" t="s">
        <v>749</v>
      </c>
      <c r="J138" t="s">
        <v>753</v>
      </c>
      <c r="K138">
        <v>155947</v>
      </c>
      <c r="L138" t="s">
        <v>47</v>
      </c>
      <c r="M138" t="s">
        <v>354</v>
      </c>
      <c r="N138" t="s">
        <v>27</v>
      </c>
      <c r="O138" t="s">
        <v>158</v>
      </c>
      <c r="P138" t="s">
        <v>562</v>
      </c>
      <c r="Q138">
        <v>40.61</v>
      </c>
      <c r="R138">
        <v>2</v>
      </c>
      <c r="S138">
        <v>0</v>
      </c>
      <c r="T138">
        <v>6.2</v>
      </c>
    </row>
    <row r="139" spans="1:20" x14ac:dyDescent="0.35">
      <c r="A139">
        <v>138</v>
      </c>
      <c r="B139" t="s">
        <v>563</v>
      </c>
      <c r="C139" s="1">
        <v>45670</v>
      </c>
      <c r="D139" s="1">
        <v>45677</v>
      </c>
      <c r="E139" t="s">
        <v>52</v>
      </c>
      <c r="F139" t="s">
        <v>228</v>
      </c>
      <c r="G139" t="s">
        <v>564</v>
      </c>
      <c r="H139" t="s">
        <v>67</v>
      </c>
      <c r="I139" t="s">
        <v>749</v>
      </c>
      <c r="J139" t="s">
        <v>753</v>
      </c>
      <c r="K139">
        <v>621888</v>
      </c>
      <c r="L139" t="s">
        <v>68</v>
      </c>
      <c r="M139" t="s">
        <v>565</v>
      </c>
      <c r="N139" t="s">
        <v>61</v>
      </c>
      <c r="O139" t="s">
        <v>62</v>
      </c>
      <c r="P139" t="s">
        <v>566</v>
      </c>
      <c r="Q139">
        <v>1862.3</v>
      </c>
      <c r="R139">
        <v>8</v>
      </c>
      <c r="S139">
        <v>0.1</v>
      </c>
      <c r="T139">
        <v>402.59</v>
      </c>
    </row>
    <row r="140" spans="1:20" x14ac:dyDescent="0.35">
      <c r="A140">
        <v>139</v>
      </c>
      <c r="B140" t="s">
        <v>567</v>
      </c>
      <c r="C140" s="1">
        <v>45829</v>
      </c>
      <c r="D140" s="1">
        <v>45834</v>
      </c>
      <c r="E140" t="s">
        <v>52</v>
      </c>
      <c r="F140" t="s">
        <v>273</v>
      </c>
      <c r="G140" t="s">
        <v>568</v>
      </c>
      <c r="H140" t="s">
        <v>67</v>
      </c>
      <c r="I140" t="s">
        <v>749</v>
      </c>
      <c r="J140" t="s">
        <v>753</v>
      </c>
      <c r="K140">
        <v>855189</v>
      </c>
      <c r="L140" t="s">
        <v>68</v>
      </c>
      <c r="M140" t="s">
        <v>153</v>
      </c>
      <c r="N140" t="s">
        <v>27</v>
      </c>
      <c r="O140" t="s">
        <v>158</v>
      </c>
      <c r="P140" t="s">
        <v>569</v>
      </c>
      <c r="Q140">
        <v>35.75</v>
      </c>
      <c r="R140">
        <v>4</v>
      </c>
      <c r="S140">
        <v>0.05</v>
      </c>
      <c r="T140">
        <v>9.69</v>
      </c>
    </row>
    <row r="141" spans="1:20" x14ac:dyDescent="0.35">
      <c r="A141">
        <v>140</v>
      </c>
      <c r="B141" t="s">
        <v>570</v>
      </c>
      <c r="C141" s="1">
        <v>45334</v>
      </c>
      <c r="D141" s="1">
        <v>45335</v>
      </c>
      <c r="E141" t="s">
        <v>31</v>
      </c>
      <c r="F141" t="s">
        <v>96</v>
      </c>
      <c r="G141" t="s">
        <v>571</v>
      </c>
      <c r="H141" t="s">
        <v>67</v>
      </c>
      <c r="I141" t="s">
        <v>749</v>
      </c>
      <c r="J141" t="s">
        <v>753</v>
      </c>
      <c r="K141">
        <v>890737</v>
      </c>
      <c r="L141" t="s">
        <v>47</v>
      </c>
      <c r="M141" t="s">
        <v>500</v>
      </c>
      <c r="N141" t="s">
        <v>61</v>
      </c>
      <c r="O141" t="s">
        <v>62</v>
      </c>
      <c r="P141" t="s">
        <v>63</v>
      </c>
      <c r="Q141">
        <v>193.78</v>
      </c>
      <c r="R141">
        <v>7</v>
      </c>
      <c r="S141">
        <v>0.05</v>
      </c>
      <c r="T141">
        <v>40.08</v>
      </c>
    </row>
    <row r="142" spans="1:20" x14ac:dyDescent="0.35">
      <c r="A142">
        <v>141</v>
      </c>
      <c r="B142" t="s">
        <v>572</v>
      </c>
      <c r="C142" s="1">
        <v>45403</v>
      </c>
      <c r="D142" s="1">
        <v>45405</v>
      </c>
      <c r="E142" t="s">
        <v>52</v>
      </c>
      <c r="F142" t="s">
        <v>321</v>
      </c>
      <c r="G142" t="s">
        <v>573</v>
      </c>
      <c r="H142" t="s">
        <v>67</v>
      </c>
      <c r="I142" t="s">
        <v>749</v>
      </c>
      <c r="J142" t="s">
        <v>753</v>
      </c>
      <c r="K142">
        <v>595962</v>
      </c>
      <c r="L142" t="s">
        <v>47</v>
      </c>
      <c r="M142" t="s">
        <v>123</v>
      </c>
      <c r="N142" t="s">
        <v>27</v>
      </c>
      <c r="O142" t="s">
        <v>110</v>
      </c>
      <c r="P142" t="s">
        <v>574</v>
      </c>
      <c r="Q142">
        <v>1104.3699999999999</v>
      </c>
      <c r="R142">
        <v>6</v>
      </c>
      <c r="S142">
        <v>0.2</v>
      </c>
      <c r="T142">
        <v>-1.37</v>
      </c>
    </row>
    <row r="143" spans="1:20" x14ac:dyDescent="0.35">
      <c r="A143">
        <v>142</v>
      </c>
      <c r="B143" t="s">
        <v>575</v>
      </c>
      <c r="C143" s="1">
        <v>45627</v>
      </c>
      <c r="D143" s="1">
        <v>45632</v>
      </c>
      <c r="E143" t="s">
        <v>52</v>
      </c>
      <c r="F143" t="s">
        <v>196</v>
      </c>
      <c r="G143" t="s">
        <v>576</v>
      </c>
      <c r="H143" t="s">
        <v>67</v>
      </c>
      <c r="I143" t="s">
        <v>749</v>
      </c>
      <c r="J143" t="s">
        <v>753</v>
      </c>
      <c r="K143">
        <v>908954</v>
      </c>
      <c r="L143" t="s">
        <v>47</v>
      </c>
      <c r="M143" t="s">
        <v>404</v>
      </c>
      <c r="N143" t="s">
        <v>37</v>
      </c>
      <c r="O143" t="s">
        <v>38</v>
      </c>
      <c r="P143" t="s">
        <v>482</v>
      </c>
      <c r="Q143">
        <v>988.89</v>
      </c>
      <c r="R143">
        <v>1</v>
      </c>
      <c r="S143">
        <v>0.3</v>
      </c>
      <c r="T143">
        <v>21.74</v>
      </c>
    </row>
    <row r="144" spans="1:20" x14ac:dyDescent="0.35">
      <c r="A144">
        <v>143</v>
      </c>
      <c r="B144" t="s">
        <v>577</v>
      </c>
      <c r="C144" s="1">
        <v>45444</v>
      </c>
      <c r="D144" s="1">
        <v>45450</v>
      </c>
      <c r="E144" t="s">
        <v>21</v>
      </c>
      <c r="F144" t="s">
        <v>32</v>
      </c>
      <c r="G144" t="s">
        <v>578</v>
      </c>
      <c r="H144" t="s">
        <v>34</v>
      </c>
      <c r="I144" t="s">
        <v>749</v>
      </c>
      <c r="J144" t="s">
        <v>753</v>
      </c>
      <c r="K144">
        <v>294564</v>
      </c>
      <c r="L144" t="s">
        <v>25</v>
      </c>
      <c r="M144" t="s">
        <v>235</v>
      </c>
      <c r="N144" t="s">
        <v>27</v>
      </c>
      <c r="O144" t="s">
        <v>158</v>
      </c>
      <c r="P144" t="s">
        <v>579</v>
      </c>
      <c r="Q144">
        <v>1249.5999999999999</v>
      </c>
      <c r="R144">
        <v>7</v>
      </c>
      <c r="S144">
        <v>0.2</v>
      </c>
      <c r="T144">
        <v>67.23</v>
      </c>
    </row>
    <row r="145" spans="1:20" x14ac:dyDescent="0.35">
      <c r="A145">
        <v>144</v>
      </c>
      <c r="B145" t="s">
        <v>580</v>
      </c>
      <c r="C145" s="1">
        <v>45626</v>
      </c>
      <c r="D145" s="1">
        <v>45632</v>
      </c>
      <c r="E145" t="s">
        <v>21</v>
      </c>
      <c r="F145" t="s">
        <v>58</v>
      </c>
      <c r="G145" t="s">
        <v>581</v>
      </c>
      <c r="H145" t="s">
        <v>34</v>
      </c>
      <c r="I145" t="s">
        <v>749</v>
      </c>
      <c r="J145" t="s">
        <v>753</v>
      </c>
      <c r="K145">
        <v>435007</v>
      </c>
      <c r="L145" t="s">
        <v>25</v>
      </c>
      <c r="M145" t="s">
        <v>123</v>
      </c>
      <c r="N145" t="s">
        <v>37</v>
      </c>
      <c r="O145" t="s">
        <v>38</v>
      </c>
      <c r="P145" t="s">
        <v>582</v>
      </c>
      <c r="Q145">
        <v>1095.32</v>
      </c>
      <c r="R145">
        <v>4</v>
      </c>
      <c r="S145">
        <v>0.15</v>
      </c>
      <c r="T145">
        <v>160.03</v>
      </c>
    </row>
    <row r="146" spans="1:20" x14ac:dyDescent="0.35">
      <c r="A146">
        <v>145</v>
      </c>
      <c r="B146" t="s">
        <v>583</v>
      </c>
      <c r="C146" s="1">
        <v>45541</v>
      </c>
      <c r="D146" s="1">
        <v>45548</v>
      </c>
      <c r="E146" t="s">
        <v>52</v>
      </c>
      <c r="F146" t="s">
        <v>179</v>
      </c>
      <c r="G146" t="s">
        <v>584</v>
      </c>
      <c r="H146" t="s">
        <v>34</v>
      </c>
      <c r="I146" t="s">
        <v>749</v>
      </c>
      <c r="J146" t="s">
        <v>753</v>
      </c>
      <c r="K146">
        <v>660068</v>
      </c>
      <c r="L146" t="s">
        <v>47</v>
      </c>
      <c r="M146" t="s">
        <v>172</v>
      </c>
      <c r="N146" t="s">
        <v>61</v>
      </c>
      <c r="O146" t="s">
        <v>99</v>
      </c>
      <c r="P146" t="s">
        <v>271</v>
      </c>
      <c r="Q146">
        <v>1697.81</v>
      </c>
      <c r="R146">
        <v>1</v>
      </c>
      <c r="S146">
        <v>0</v>
      </c>
      <c r="T146">
        <v>536.08000000000004</v>
      </c>
    </row>
    <row r="147" spans="1:20" x14ac:dyDescent="0.35">
      <c r="A147">
        <v>146</v>
      </c>
      <c r="B147" t="s">
        <v>585</v>
      </c>
      <c r="C147" s="1">
        <v>45339</v>
      </c>
      <c r="D147" s="1">
        <v>45341</v>
      </c>
      <c r="E147" t="s">
        <v>31</v>
      </c>
      <c r="F147" t="s">
        <v>586</v>
      </c>
      <c r="G147" t="s">
        <v>587</v>
      </c>
      <c r="H147" t="s">
        <v>67</v>
      </c>
      <c r="I147" t="s">
        <v>749</v>
      </c>
      <c r="J147" t="s">
        <v>753</v>
      </c>
      <c r="K147">
        <v>379173</v>
      </c>
      <c r="L147" t="s">
        <v>68</v>
      </c>
      <c r="M147" t="s">
        <v>408</v>
      </c>
      <c r="N147" t="s">
        <v>27</v>
      </c>
      <c r="O147" t="s">
        <v>158</v>
      </c>
      <c r="P147" t="s">
        <v>588</v>
      </c>
      <c r="Q147">
        <v>1739.5</v>
      </c>
      <c r="R147">
        <v>9</v>
      </c>
      <c r="S147">
        <v>0.15</v>
      </c>
      <c r="T147">
        <v>163.89</v>
      </c>
    </row>
    <row r="148" spans="1:20" x14ac:dyDescent="0.35">
      <c r="A148">
        <v>147</v>
      </c>
      <c r="B148" t="s">
        <v>589</v>
      </c>
      <c r="C148" s="1">
        <v>45432</v>
      </c>
      <c r="D148" s="1">
        <v>45436</v>
      </c>
      <c r="E148" t="s">
        <v>21</v>
      </c>
      <c r="F148" t="s">
        <v>590</v>
      </c>
      <c r="G148" t="s">
        <v>591</v>
      </c>
      <c r="H148" t="s">
        <v>34</v>
      </c>
      <c r="I148" t="s">
        <v>749</v>
      </c>
      <c r="J148" t="s">
        <v>753</v>
      </c>
      <c r="K148">
        <v>505999</v>
      </c>
      <c r="L148" t="s">
        <v>25</v>
      </c>
      <c r="M148" t="s">
        <v>592</v>
      </c>
      <c r="N148" t="s">
        <v>27</v>
      </c>
      <c r="O148" t="s">
        <v>158</v>
      </c>
      <c r="P148" t="s">
        <v>593</v>
      </c>
      <c r="Q148">
        <v>889.67</v>
      </c>
      <c r="R148">
        <v>10</v>
      </c>
      <c r="S148">
        <v>0.15</v>
      </c>
      <c r="T148">
        <v>-169.34</v>
      </c>
    </row>
    <row r="149" spans="1:20" x14ac:dyDescent="0.35">
      <c r="A149">
        <v>148</v>
      </c>
      <c r="B149" t="s">
        <v>594</v>
      </c>
      <c r="C149" s="1">
        <v>45767</v>
      </c>
      <c r="D149" s="1">
        <v>45770</v>
      </c>
      <c r="E149" t="s">
        <v>31</v>
      </c>
      <c r="F149" t="s">
        <v>595</v>
      </c>
      <c r="G149" t="s">
        <v>596</v>
      </c>
      <c r="H149" t="s">
        <v>34</v>
      </c>
      <c r="I149" t="s">
        <v>749</v>
      </c>
      <c r="J149" t="s">
        <v>752</v>
      </c>
      <c r="K149">
        <v>284417</v>
      </c>
      <c r="L149" t="s">
        <v>25</v>
      </c>
      <c r="M149" t="s">
        <v>408</v>
      </c>
      <c r="N149" t="s">
        <v>27</v>
      </c>
      <c r="O149" t="s">
        <v>28</v>
      </c>
      <c r="P149" t="s">
        <v>425</v>
      </c>
      <c r="Q149">
        <v>1951.41</v>
      </c>
      <c r="R149">
        <v>5</v>
      </c>
      <c r="S149">
        <v>0.15</v>
      </c>
      <c r="T149">
        <v>253.75</v>
      </c>
    </row>
    <row r="150" spans="1:20" x14ac:dyDescent="0.35">
      <c r="A150">
        <v>149</v>
      </c>
      <c r="B150" t="s">
        <v>597</v>
      </c>
      <c r="C150" s="1">
        <v>45592</v>
      </c>
      <c r="D150" s="1">
        <v>45598</v>
      </c>
      <c r="E150" t="s">
        <v>21</v>
      </c>
      <c r="F150" t="s">
        <v>256</v>
      </c>
      <c r="G150" t="s">
        <v>598</v>
      </c>
      <c r="H150" t="s">
        <v>34</v>
      </c>
      <c r="I150" t="s">
        <v>749</v>
      </c>
      <c r="J150" t="s">
        <v>752</v>
      </c>
      <c r="K150">
        <v>679604</v>
      </c>
      <c r="L150" t="s">
        <v>68</v>
      </c>
      <c r="M150" t="s">
        <v>599</v>
      </c>
      <c r="N150" t="s">
        <v>27</v>
      </c>
      <c r="O150" t="s">
        <v>28</v>
      </c>
      <c r="P150" t="s">
        <v>600</v>
      </c>
      <c r="Q150">
        <v>1756.52</v>
      </c>
      <c r="R150">
        <v>9</v>
      </c>
      <c r="S150">
        <v>0.2</v>
      </c>
      <c r="T150">
        <v>-280.68</v>
      </c>
    </row>
    <row r="151" spans="1:20" x14ac:dyDescent="0.35">
      <c r="A151">
        <v>150</v>
      </c>
      <c r="B151" t="s">
        <v>601</v>
      </c>
      <c r="C151" s="1">
        <v>45523</v>
      </c>
      <c r="D151" s="1">
        <v>45527</v>
      </c>
      <c r="E151" t="s">
        <v>21</v>
      </c>
      <c r="F151" t="s">
        <v>376</v>
      </c>
      <c r="G151" t="s">
        <v>602</v>
      </c>
      <c r="H151" t="s">
        <v>67</v>
      </c>
      <c r="I151" t="s">
        <v>749</v>
      </c>
      <c r="J151" t="s">
        <v>752</v>
      </c>
      <c r="K151">
        <v>869474</v>
      </c>
      <c r="L151" t="s">
        <v>35</v>
      </c>
      <c r="M151" t="s">
        <v>492</v>
      </c>
      <c r="N151" t="s">
        <v>27</v>
      </c>
      <c r="O151" t="s">
        <v>28</v>
      </c>
      <c r="P151" t="s">
        <v>603</v>
      </c>
      <c r="Q151">
        <v>45.75</v>
      </c>
      <c r="R151">
        <v>4</v>
      </c>
      <c r="S151">
        <v>0.05</v>
      </c>
      <c r="T151">
        <v>14.54</v>
      </c>
    </row>
    <row r="152" spans="1:20" x14ac:dyDescent="0.35">
      <c r="A152">
        <v>151</v>
      </c>
      <c r="B152" t="s">
        <v>604</v>
      </c>
      <c r="C152" s="1">
        <v>45474</v>
      </c>
      <c r="D152" s="1">
        <v>45477</v>
      </c>
      <c r="E152" t="s">
        <v>31</v>
      </c>
      <c r="F152" t="s">
        <v>161</v>
      </c>
      <c r="G152" t="s">
        <v>605</v>
      </c>
      <c r="H152" t="s">
        <v>24</v>
      </c>
      <c r="I152" t="s">
        <v>749</v>
      </c>
      <c r="J152" t="s">
        <v>752</v>
      </c>
      <c r="K152">
        <v>877119</v>
      </c>
      <c r="L152" t="s">
        <v>68</v>
      </c>
      <c r="M152" t="s">
        <v>565</v>
      </c>
      <c r="N152" t="s">
        <v>37</v>
      </c>
      <c r="O152" t="s">
        <v>55</v>
      </c>
      <c r="P152" t="s">
        <v>606</v>
      </c>
      <c r="Q152">
        <v>1055.8499999999999</v>
      </c>
      <c r="R152">
        <v>6</v>
      </c>
      <c r="S152">
        <v>0.1</v>
      </c>
      <c r="T152">
        <v>352.61</v>
      </c>
    </row>
    <row r="153" spans="1:20" x14ac:dyDescent="0.35">
      <c r="A153">
        <v>152</v>
      </c>
      <c r="B153" t="s">
        <v>607</v>
      </c>
      <c r="C153" s="1">
        <v>45617</v>
      </c>
      <c r="D153" s="1">
        <v>45623</v>
      </c>
      <c r="E153" t="s">
        <v>52</v>
      </c>
      <c r="F153" t="s">
        <v>441</v>
      </c>
      <c r="G153" t="s">
        <v>608</v>
      </c>
      <c r="H153" t="s">
        <v>67</v>
      </c>
      <c r="I153" t="s">
        <v>749</v>
      </c>
      <c r="J153" t="s">
        <v>752</v>
      </c>
      <c r="K153">
        <v>490657</v>
      </c>
      <c r="L153" t="s">
        <v>68</v>
      </c>
      <c r="M153" t="s">
        <v>489</v>
      </c>
      <c r="N153" t="s">
        <v>61</v>
      </c>
      <c r="O153" t="s">
        <v>62</v>
      </c>
      <c r="P153" t="s">
        <v>609</v>
      </c>
      <c r="Q153">
        <v>1969.81</v>
      </c>
      <c r="R153">
        <v>6</v>
      </c>
      <c r="S153">
        <v>0.05</v>
      </c>
      <c r="T153">
        <v>655.37</v>
      </c>
    </row>
    <row r="154" spans="1:20" x14ac:dyDescent="0.35">
      <c r="A154">
        <v>153</v>
      </c>
      <c r="B154" t="s">
        <v>610</v>
      </c>
      <c r="C154" s="1">
        <v>45668</v>
      </c>
      <c r="D154" s="1">
        <v>45671</v>
      </c>
      <c r="E154" t="s">
        <v>52</v>
      </c>
      <c r="F154" t="s">
        <v>252</v>
      </c>
      <c r="G154" t="s">
        <v>611</v>
      </c>
      <c r="H154" t="s">
        <v>24</v>
      </c>
      <c r="I154" t="s">
        <v>749</v>
      </c>
      <c r="J154" t="s">
        <v>752</v>
      </c>
      <c r="K154">
        <v>713581</v>
      </c>
      <c r="L154" t="s">
        <v>68</v>
      </c>
      <c r="M154" t="s">
        <v>612</v>
      </c>
      <c r="N154" t="s">
        <v>37</v>
      </c>
      <c r="O154" t="s">
        <v>55</v>
      </c>
      <c r="P154" t="s">
        <v>613</v>
      </c>
      <c r="Q154">
        <v>1758.69</v>
      </c>
      <c r="R154">
        <v>7</v>
      </c>
      <c r="S154">
        <v>0.15</v>
      </c>
      <c r="T154">
        <v>104.91</v>
      </c>
    </row>
    <row r="155" spans="1:20" x14ac:dyDescent="0.35">
      <c r="A155">
        <v>154</v>
      </c>
      <c r="B155" t="s">
        <v>614</v>
      </c>
      <c r="C155" s="1">
        <v>45494</v>
      </c>
      <c r="D155" s="1">
        <v>45498</v>
      </c>
      <c r="E155" t="s">
        <v>31</v>
      </c>
      <c r="F155" t="s">
        <v>200</v>
      </c>
      <c r="G155" t="s">
        <v>615</v>
      </c>
      <c r="H155" t="s">
        <v>24</v>
      </c>
      <c r="I155" t="s">
        <v>749</v>
      </c>
      <c r="J155" t="s">
        <v>752</v>
      </c>
      <c r="K155">
        <v>735855</v>
      </c>
      <c r="L155" t="s">
        <v>68</v>
      </c>
      <c r="M155" t="s">
        <v>489</v>
      </c>
      <c r="N155" t="s">
        <v>37</v>
      </c>
      <c r="O155" t="s">
        <v>38</v>
      </c>
      <c r="P155" t="s">
        <v>616</v>
      </c>
      <c r="Q155">
        <v>477.57</v>
      </c>
      <c r="R155">
        <v>7</v>
      </c>
      <c r="S155">
        <v>0.05</v>
      </c>
      <c r="T155">
        <v>92.92</v>
      </c>
    </row>
    <row r="156" spans="1:20" x14ac:dyDescent="0.35">
      <c r="A156">
        <v>155</v>
      </c>
      <c r="B156" t="s">
        <v>617</v>
      </c>
      <c r="C156" s="1">
        <v>45569</v>
      </c>
      <c r="D156" s="1">
        <v>45571</v>
      </c>
      <c r="E156" t="s">
        <v>21</v>
      </c>
      <c r="F156" t="s">
        <v>196</v>
      </c>
      <c r="G156" t="s">
        <v>618</v>
      </c>
      <c r="H156" t="s">
        <v>34</v>
      </c>
      <c r="I156" t="s">
        <v>749</v>
      </c>
      <c r="J156" t="s">
        <v>752</v>
      </c>
      <c r="K156">
        <v>242406</v>
      </c>
      <c r="L156" t="s">
        <v>35</v>
      </c>
      <c r="M156" t="s">
        <v>415</v>
      </c>
      <c r="N156" t="s">
        <v>61</v>
      </c>
      <c r="O156" t="s">
        <v>62</v>
      </c>
      <c r="P156" t="s">
        <v>461</v>
      </c>
      <c r="Q156">
        <v>714.69</v>
      </c>
      <c r="R156">
        <v>1</v>
      </c>
      <c r="S156">
        <v>0</v>
      </c>
      <c r="T156">
        <v>11.58</v>
      </c>
    </row>
    <row r="157" spans="1:20" x14ac:dyDescent="0.35">
      <c r="A157">
        <v>156</v>
      </c>
      <c r="B157" t="s">
        <v>619</v>
      </c>
      <c r="C157" s="1">
        <v>45779</v>
      </c>
      <c r="D157" s="1">
        <v>45781</v>
      </c>
      <c r="E157" t="s">
        <v>52</v>
      </c>
      <c r="F157" t="s">
        <v>306</v>
      </c>
      <c r="G157" t="s">
        <v>620</v>
      </c>
      <c r="H157" t="s">
        <v>24</v>
      </c>
      <c r="I157" t="s">
        <v>749</v>
      </c>
      <c r="J157" t="s">
        <v>752</v>
      </c>
      <c r="K157">
        <v>506281</v>
      </c>
      <c r="L157" t="s">
        <v>35</v>
      </c>
      <c r="M157" t="s">
        <v>536</v>
      </c>
      <c r="N157" t="s">
        <v>61</v>
      </c>
      <c r="O157" t="s">
        <v>99</v>
      </c>
      <c r="P157" t="s">
        <v>621</v>
      </c>
      <c r="Q157">
        <v>597.04</v>
      </c>
      <c r="R157">
        <v>5</v>
      </c>
      <c r="S157">
        <v>0.05</v>
      </c>
      <c r="T157">
        <v>-25.15</v>
      </c>
    </row>
    <row r="158" spans="1:20" x14ac:dyDescent="0.35">
      <c r="A158">
        <v>157</v>
      </c>
      <c r="B158" t="s">
        <v>622</v>
      </c>
      <c r="C158" s="1">
        <v>45405</v>
      </c>
      <c r="D158" s="1">
        <v>45408</v>
      </c>
      <c r="E158" t="s">
        <v>31</v>
      </c>
      <c r="F158" t="s">
        <v>205</v>
      </c>
      <c r="G158" t="s">
        <v>623</v>
      </c>
      <c r="H158" t="s">
        <v>67</v>
      </c>
      <c r="I158" t="s">
        <v>749</v>
      </c>
      <c r="J158" t="s">
        <v>752</v>
      </c>
      <c r="K158">
        <v>396628</v>
      </c>
      <c r="L158" t="s">
        <v>47</v>
      </c>
      <c r="M158" t="s">
        <v>624</v>
      </c>
      <c r="N158" t="s">
        <v>61</v>
      </c>
      <c r="O158" t="s">
        <v>99</v>
      </c>
      <c r="P158" t="s">
        <v>190</v>
      </c>
      <c r="Q158">
        <v>1367.88</v>
      </c>
      <c r="R158">
        <v>7</v>
      </c>
      <c r="S158">
        <v>0.3</v>
      </c>
      <c r="T158">
        <v>-26.93</v>
      </c>
    </row>
    <row r="159" spans="1:20" x14ac:dyDescent="0.35">
      <c r="A159">
        <v>158</v>
      </c>
      <c r="B159" t="s">
        <v>625</v>
      </c>
      <c r="C159" s="1">
        <v>45479</v>
      </c>
      <c r="D159" s="1">
        <v>45483</v>
      </c>
      <c r="E159" t="s">
        <v>52</v>
      </c>
      <c r="F159" t="s">
        <v>626</v>
      </c>
      <c r="G159" t="s">
        <v>627</v>
      </c>
      <c r="H159" t="s">
        <v>24</v>
      </c>
      <c r="I159" t="s">
        <v>749</v>
      </c>
      <c r="J159" t="s">
        <v>753</v>
      </c>
      <c r="K159">
        <v>934248</v>
      </c>
      <c r="L159" t="s">
        <v>35</v>
      </c>
      <c r="M159" t="s">
        <v>481</v>
      </c>
      <c r="N159" t="s">
        <v>27</v>
      </c>
      <c r="O159" t="s">
        <v>28</v>
      </c>
      <c r="P159" t="s">
        <v>29</v>
      </c>
      <c r="Q159">
        <v>616.89</v>
      </c>
      <c r="R159">
        <v>7</v>
      </c>
      <c r="S159">
        <v>0.3</v>
      </c>
      <c r="T159">
        <v>-51.82</v>
      </c>
    </row>
    <row r="160" spans="1:20" x14ac:dyDescent="0.35">
      <c r="A160">
        <v>159</v>
      </c>
      <c r="B160" t="s">
        <v>628</v>
      </c>
      <c r="C160" s="1">
        <v>45786</v>
      </c>
      <c r="D160" s="1">
        <v>45792</v>
      </c>
      <c r="E160" t="s">
        <v>31</v>
      </c>
      <c r="F160" t="s">
        <v>260</v>
      </c>
      <c r="G160" t="s">
        <v>629</v>
      </c>
      <c r="H160" t="s">
        <v>67</v>
      </c>
      <c r="I160" t="s">
        <v>749</v>
      </c>
      <c r="J160" t="s">
        <v>753</v>
      </c>
      <c r="K160">
        <v>172775</v>
      </c>
      <c r="L160" t="s">
        <v>25</v>
      </c>
      <c r="M160" t="s">
        <v>630</v>
      </c>
      <c r="N160" t="s">
        <v>37</v>
      </c>
      <c r="O160" t="s">
        <v>55</v>
      </c>
      <c r="P160" t="s">
        <v>56</v>
      </c>
      <c r="Q160">
        <v>1995.48</v>
      </c>
      <c r="R160">
        <v>6</v>
      </c>
      <c r="S160">
        <v>0</v>
      </c>
      <c r="T160">
        <v>-123.18</v>
      </c>
    </row>
    <row r="161" spans="1:20" x14ac:dyDescent="0.35">
      <c r="A161">
        <v>160</v>
      </c>
      <c r="B161" t="s">
        <v>631</v>
      </c>
      <c r="C161" s="1">
        <v>45334</v>
      </c>
      <c r="D161" s="1">
        <v>45339</v>
      </c>
      <c r="E161" t="s">
        <v>31</v>
      </c>
      <c r="F161" t="s">
        <v>357</v>
      </c>
      <c r="G161" t="s">
        <v>632</v>
      </c>
      <c r="H161" t="s">
        <v>34</v>
      </c>
      <c r="I161" t="s">
        <v>749</v>
      </c>
      <c r="J161" t="s">
        <v>753</v>
      </c>
      <c r="K161">
        <v>849450</v>
      </c>
      <c r="L161" t="s">
        <v>68</v>
      </c>
      <c r="M161" t="s">
        <v>239</v>
      </c>
      <c r="N161" t="s">
        <v>37</v>
      </c>
      <c r="O161" t="s">
        <v>38</v>
      </c>
      <c r="P161" t="s">
        <v>633</v>
      </c>
      <c r="Q161">
        <v>1206.2</v>
      </c>
      <c r="R161">
        <v>10</v>
      </c>
      <c r="S161">
        <v>0.2</v>
      </c>
      <c r="T161">
        <v>193.65</v>
      </c>
    </row>
    <row r="162" spans="1:20" x14ac:dyDescent="0.35">
      <c r="A162">
        <v>161</v>
      </c>
      <c r="B162" t="s">
        <v>634</v>
      </c>
      <c r="C162" s="1">
        <v>45313</v>
      </c>
      <c r="D162" s="1">
        <v>45320</v>
      </c>
      <c r="E162" t="s">
        <v>52</v>
      </c>
      <c r="F162" t="s">
        <v>32</v>
      </c>
      <c r="G162" t="s">
        <v>635</v>
      </c>
      <c r="H162" t="s">
        <v>34</v>
      </c>
      <c r="I162" t="s">
        <v>749</v>
      </c>
      <c r="J162" t="s">
        <v>753</v>
      </c>
      <c r="K162">
        <v>597302</v>
      </c>
      <c r="L162" t="s">
        <v>35</v>
      </c>
      <c r="M162" t="s">
        <v>636</v>
      </c>
      <c r="N162" t="s">
        <v>61</v>
      </c>
      <c r="O162" t="s">
        <v>62</v>
      </c>
      <c r="P162" t="s">
        <v>457</v>
      </c>
      <c r="Q162">
        <v>508.38</v>
      </c>
      <c r="R162">
        <v>3</v>
      </c>
      <c r="S162">
        <v>0.05</v>
      </c>
      <c r="T162">
        <v>146.07</v>
      </c>
    </row>
    <row r="163" spans="1:20" x14ac:dyDescent="0.35">
      <c r="A163">
        <v>162</v>
      </c>
      <c r="B163" t="s">
        <v>637</v>
      </c>
      <c r="C163" s="1">
        <v>45402</v>
      </c>
      <c r="D163" s="1">
        <v>45405</v>
      </c>
      <c r="E163" t="s">
        <v>21</v>
      </c>
      <c r="F163" t="s">
        <v>228</v>
      </c>
      <c r="G163" t="s">
        <v>638</v>
      </c>
      <c r="H163" t="s">
        <v>24</v>
      </c>
      <c r="I163" t="s">
        <v>749</v>
      </c>
      <c r="J163" t="s">
        <v>753</v>
      </c>
      <c r="K163">
        <v>813939</v>
      </c>
      <c r="L163" t="s">
        <v>25</v>
      </c>
      <c r="M163" t="s">
        <v>36</v>
      </c>
      <c r="N163" t="s">
        <v>37</v>
      </c>
      <c r="O163" t="s">
        <v>55</v>
      </c>
      <c r="P163" t="s">
        <v>639</v>
      </c>
      <c r="Q163">
        <v>1526.9</v>
      </c>
      <c r="R163">
        <v>7</v>
      </c>
      <c r="S163">
        <v>0.05</v>
      </c>
      <c r="T163">
        <v>335.47</v>
      </c>
    </row>
    <row r="164" spans="1:20" x14ac:dyDescent="0.35">
      <c r="A164">
        <v>163</v>
      </c>
      <c r="B164" t="s">
        <v>640</v>
      </c>
      <c r="C164" s="1">
        <v>45763</v>
      </c>
      <c r="D164" s="1">
        <v>45768</v>
      </c>
      <c r="E164" t="s">
        <v>31</v>
      </c>
      <c r="F164" t="s">
        <v>333</v>
      </c>
      <c r="G164" t="s">
        <v>641</v>
      </c>
      <c r="H164" t="s">
        <v>24</v>
      </c>
      <c r="I164" t="s">
        <v>749</v>
      </c>
      <c r="J164" t="s">
        <v>753</v>
      </c>
      <c r="K164">
        <v>849848</v>
      </c>
      <c r="L164" t="s">
        <v>35</v>
      </c>
      <c r="M164" t="s">
        <v>128</v>
      </c>
      <c r="N164" t="s">
        <v>61</v>
      </c>
      <c r="O164" t="s">
        <v>62</v>
      </c>
      <c r="P164" t="s">
        <v>63</v>
      </c>
      <c r="Q164">
        <v>1097.75</v>
      </c>
      <c r="R164">
        <v>2</v>
      </c>
      <c r="S164">
        <v>0.05</v>
      </c>
      <c r="T164">
        <v>4.07</v>
      </c>
    </row>
    <row r="165" spans="1:20" x14ac:dyDescent="0.35">
      <c r="A165">
        <v>164</v>
      </c>
      <c r="B165" t="s">
        <v>642</v>
      </c>
      <c r="C165" s="1">
        <v>45566</v>
      </c>
      <c r="D165" s="1">
        <v>45569</v>
      </c>
      <c r="E165" t="s">
        <v>21</v>
      </c>
      <c r="F165" t="s">
        <v>643</v>
      </c>
      <c r="G165" t="s">
        <v>644</v>
      </c>
      <c r="H165" t="s">
        <v>34</v>
      </c>
      <c r="I165" t="s">
        <v>749</v>
      </c>
      <c r="J165" t="s">
        <v>752</v>
      </c>
      <c r="K165">
        <v>234567</v>
      </c>
      <c r="L165" t="s">
        <v>35</v>
      </c>
      <c r="M165" t="s">
        <v>624</v>
      </c>
      <c r="N165" t="s">
        <v>61</v>
      </c>
      <c r="O165" t="s">
        <v>62</v>
      </c>
      <c r="P165" t="s">
        <v>645</v>
      </c>
      <c r="Q165">
        <v>1417.84</v>
      </c>
      <c r="R165">
        <v>7</v>
      </c>
      <c r="S165">
        <v>0.15</v>
      </c>
      <c r="T165">
        <v>-71.760000000000005</v>
      </c>
    </row>
    <row r="166" spans="1:20" x14ac:dyDescent="0.35">
      <c r="A166">
        <v>165</v>
      </c>
      <c r="B166" t="s">
        <v>646</v>
      </c>
      <c r="C166" s="1">
        <v>45597</v>
      </c>
      <c r="D166" s="1">
        <v>45598</v>
      </c>
      <c r="E166" t="s">
        <v>31</v>
      </c>
      <c r="F166" t="s">
        <v>22</v>
      </c>
      <c r="G166" t="s">
        <v>647</v>
      </c>
      <c r="H166" t="s">
        <v>24</v>
      </c>
      <c r="I166" t="s">
        <v>749</v>
      </c>
      <c r="J166" t="s">
        <v>752</v>
      </c>
      <c r="K166">
        <v>646103</v>
      </c>
      <c r="L166" t="s">
        <v>68</v>
      </c>
      <c r="M166" t="s">
        <v>326</v>
      </c>
      <c r="N166" t="s">
        <v>61</v>
      </c>
      <c r="O166" t="s">
        <v>99</v>
      </c>
      <c r="P166" t="s">
        <v>119</v>
      </c>
      <c r="Q166">
        <v>886.28</v>
      </c>
      <c r="R166">
        <v>8</v>
      </c>
      <c r="S166">
        <v>0.1</v>
      </c>
      <c r="T166">
        <v>-109.09</v>
      </c>
    </row>
    <row r="167" spans="1:20" x14ac:dyDescent="0.35">
      <c r="A167">
        <v>166</v>
      </c>
      <c r="B167" t="s">
        <v>648</v>
      </c>
      <c r="C167" s="1">
        <v>45375</v>
      </c>
      <c r="D167" s="1">
        <v>45379</v>
      </c>
      <c r="E167" t="s">
        <v>31</v>
      </c>
      <c r="F167" t="s">
        <v>595</v>
      </c>
      <c r="G167" t="s">
        <v>649</v>
      </c>
      <c r="H167" t="s">
        <v>67</v>
      </c>
      <c r="I167" t="s">
        <v>749</v>
      </c>
      <c r="J167" t="s">
        <v>752</v>
      </c>
      <c r="K167">
        <v>972569</v>
      </c>
      <c r="L167" t="s">
        <v>25</v>
      </c>
      <c r="M167" t="s">
        <v>193</v>
      </c>
      <c r="N167" t="s">
        <v>61</v>
      </c>
      <c r="O167" t="s">
        <v>62</v>
      </c>
      <c r="P167" t="s">
        <v>566</v>
      </c>
      <c r="Q167">
        <v>554.51</v>
      </c>
      <c r="R167">
        <v>9</v>
      </c>
      <c r="S167">
        <v>0.2</v>
      </c>
      <c r="T167">
        <v>-75.73</v>
      </c>
    </row>
    <row r="168" spans="1:20" x14ac:dyDescent="0.35">
      <c r="A168">
        <v>167</v>
      </c>
      <c r="B168" t="s">
        <v>650</v>
      </c>
      <c r="C168" s="1">
        <v>45693</v>
      </c>
      <c r="D168" s="1">
        <v>45694</v>
      </c>
      <c r="E168" t="s">
        <v>52</v>
      </c>
      <c r="F168" t="s">
        <v>225</v>
      </c>
      <c r="G168" t="s">
        <v>651</v>
      </c>
      <c r="H168" t="s">
        <v>67</v>
      </c>
      <c r="I168" t="s">
        <v>749</v>
      </c>
      <c r="J168" t="s">
        <v>752</v>
      </c>
      <c r="K168">
        <v>924034</v>
      </c>
      <c r="L168" t="s">
        <v>35</v>
      </c>
      <c r="M168" t="s">
        <v>297</v>
      </c>
      <c r="N168" t="s">
        <v>27</v>
      </c>
      <c r="O168" t="s">
        <v>158</v>
      </c>
      <c r="P168" t="s">
        <v>312</v>
      </c>
      <c r="Q168">
        <v>426.89</v>
      </c>
      <c r="R168">
        <v>10</v>
      </c>
      <c r="S168">
        <v>0</v>
      </c>
      <c r="T168">
        <v>111.64</v>
      </c>
    </row>
    <row r="169" spans="1:20" x14ac:dyDescent="0.35">
      <c r="A169">
        <v>168</v>
      </c>
      <c r="B169" t="s">
        <v>652</v>
      </c>
      <c r="C169" s="1">
        <v>45430</v>
      </c>
      <c r="D169" s="1">
        <v>45431</v>
      </c>
      <c r="E169" t="s">
        <v>52</v>
      </c>
      <c r="F169" t="s">
        <v>225</v>
      </c>
      <c r="G169" t="s">
        <v>653</v>
      </c>
      <c r="H169" t="s">
        <v>67</v>
      </c>
      <c r="I169" t="s">
        <v>749</v>
      </c>
      <c r="J169" t="s">
        <v>752</v>
      </c>
      <c r="K169">
        <v>387983</v>
      </c>
      <c r="L169" t="s">
        <v>47</v>
      </c>
      <c r="M169" t="s">
        <v>42</v>
      </c>
      <c r="N169" t="s">
        <v>27</v>
      </c>
      <c r="O169" t="s">
        <v>28</v>
      </c>
      <c r="P169" t="s">
        <v>501</v>
      </c>
      <c r="Q169">
        <v>1935.62</v>
      </c>
      <c r="R169">
        <v>4</v>
      </c>
      <c r="S169">
        <v>0</v>
      </c>
      <c r="T169">
        <v>286.07</v>
      </c>
    </row>
    <row r="170" spans="1:20" x14ac:dyDescent="0.35">
      <c r="A170">
        <v>169</v>
      </c>
      <c r="B170" t="s">
        <v>654</v>
      </c>
      <c r="C170" s="1">
        <v>45572</v>
      </c>
      <c r="D170" s="1">
        <v>45579</v>
      </c>
      <c r="E170" t="s">
        <v>31</v>
      </c>
      <c r="F170" t="s">
        <v>626</v>
      </c>
      <c r="G170" t="s">
        <v>655</v>
      </c>
      <c r="H170" t="s">
        <v>34</v>
      </c>
      <c r="I170" t="s">
        <v>749</v>
      </c>
      <c r="J170" t="s">
        <v>752</v>
      </c>
      <c r="K170">
        <v>759311</v>
      </c>
      <c r="L170" t="s">
        <v>47</v>
      </c>
      <c r="M170" t="s">
        <v>404</v>
      </c>
      <c r="N170" t="s">
        <v>61</v>
      </c>
      <c r="O170" t="s">
        <v>148</v>
      </c>
      <c r="P170" t="s">
        <v>656</v>
      </c>
      <c r="Q170">
        <v>1220.67</v>
      </c>
      <c r="R170">
        <v>9</v>
      </c>
      <c r="S170">
        <v>0.2</v>
      </c>
      <c r="T170">
        <v>87.97</v>
      </c>
    </row>
    <row r="171" spans="1:20" x14ac:dyDescent="0.35">
      <c r="A171">
        <v>170</v>
      </c>
      <c r="B171" t="s">
        <v>657</v>
      </c>
      <c r="C171" s="1">
        <v>45689</v>
      </c>
      <c r="D171" s="1">
        <v>45694</v>
      </c>
      <c r="E171" t="s">
        <v>52</v>
      </c>
      <c r="F171" t="s">
        <v>658</v>
      </c>
      <c r="G171" t="s">
        <v>659</v>
      </c>
      <c r="H171" t="s">
        <v>24</v>
      </c>
      <c r="I171" t="s">
        <v>749</v>
      </c>
      <c r="J171" t="s">
        <v>750</v>
      </c>
      <c r="K171">
        <v>515449</v>
      </c>
      <c r="L171" t="s">
        <v>47</v>
      </c>
      <c r="M171" t="s">
        <v>42</v>
      </c>
      <c r="N171" t="s">
        <v>61</v>
      </c>
      <c r="O171" t="s">
        <v>148</v>
      </c>
      <c r="P171" t="s">
        <v>660</v>
      </c>
      <c r="Q171">
        <v>230.31</v>
      </c>
      <c r="R171">
        <v>4</v>
      </c>
      <c r="S171">
        <v>0.05</v>
      </c>
      <c r="T171">
        <v>2.25</v>
      </c>
    </row>
    <row r="172" spans="1:20" x14ac:dyDescent="0.35">
      <c r="A172">
        <v>171</v>
      </c>
      <c r="B172" t="s">
        <v>661</v>
      </c>
      <c r="C172" s="1">
        <v>45295</v>
      </c>
      <c r="D172" s="1">
        <v>45302</v>
      </c>
      <c r="E172" t="s">
        <v>21</v>
      </c>
      <c r="F172" t="s">
        <v>658</v>
      </c>
      <c r="G172" t="s">
        <v>662</v>
      </c>
      <c r="H172" t="s">
        <v>67</v>
      </c>
      <c r="I172" t="s">
        <v>749</v>
      </c>
      <c r="J172" t="s">
        <v>750</v>
      </c>
      <c r="K172">
        <v>393716</v>
      </c>
      <c r="L172" t="s">
        <v>25</v>
      </c>
      <c r="M172" t="s">
        <v>552</v>
      </c>
      <c r="N172" t="s">
        <v>37</v>
      </c>
      <c r="O172" t="s">
        <v>38</v>
      </c>
      <c r="P172" t="s">
        <v>663</v>
      </c>
      <c r="Q172">
        <v>1052.93</v>
      </c>
      <c r="R172">
        <v>7</v>
      </c>
      <c r="S172">
        <v>0.05</v>
      </c>
      <c r="T172">
        <v>-95.83</v>
      </c>
    </row>
    <row r="173" spans="1:20" x14ac:dyDescent="0.35">
      <c r="A173">
        <v>172</v>
      </c>
      <c r="B173" t="s">
        <v>664</v>
      </c>
      <c r="C173" s="1">
        <v>45706</v>
      </c>
      <c r="D173" s="1">
        <v>45709</v>
      </c>
      <c r="E173" t="s">
        <v>52</v>
      </c>
      <c r="F173" t="s">
        <v>665</v>
      </c>
      <c r="G173" t="s">
        <v>666</v>
      </c>
      <c r="H173" t="s">
        <v>34</v>
      </c>
      <c r="I173" t="s">
        <v>749</v>
      </c>
      <c r="J173" t="s">
        <v>750</v>
      </c>
      <c r="K173">
        <v>377859</v>
      </c>
      <c r="L173" t="s">
        <v>47</v>
      </c>
      <c r="M173" t="s">
        <v>230</v>
      </c>
      <c r="N173" t="s">
        <v>61</v>
      </c>
      <c r="O173" t="s">
        <v>99</v>
      </c>
      <c r="P173" t="s">
        <v>667</v>
      </c>
      <c r="Q173">
        <v>1712.74</v>
      </c>
      <c r="R173">
        <v>5</v>
      </c>
      <c r="S173">
        <v>0.15</v>
      </c>
      <c r="T173">
        <v>131.29</v>
      </c>
    </row>
    <row r="174" spans="1:20" x14ac:dyDescent="0.35">
      <c r="A174">
        <v>173</v>
      </c>
      <c r="B174" t="s">
        <v>668</v>
      </c>
      <c r="C174" s="1">
        <v>45302</v>
      </c>
      <c r="D174" s="1">
        <v>45308</v>
      </c>
      <c r="E174" t="s">
        <v>52</v>
      </c>
      <c r="F174" t="s">
        <v>476</v>
      </c>
      <c r="G174" t="s">
        <v>669</v>
      </c>
      <c r="H174" t="s">
        <v>67</v>
      </c>
      <c r="I174" t="s">
        <v>749</v>
      </c>
      <c r="J174" t="s">
        <v>750</v>
      </c>
      <c r="K174">
        <v>894912</v>
      </c>
      <c r="L174" t="s">
        <v>35</v>
      </c>
      <c r="M174" t="s">
        <v>543</v>
      </c>
      <c r="N174" t="s">
        <v>61</v>
      </c>
      <c r="O174" t="s">
        <v>148</v>
      </c>
      <c r="P174" t="s">
        <v>154</v>
      </c>
      <c r="Q174">
        <v>1916.84</v>
      </c>
      <c r="R174">
        <v>9</v>
      </c>
      <c r="S174">
        <v>0.05</v>
      </c>
      <c r="T174">
        <v>158.41999999999999</v>
      </c>
    </row>
    <row r="175" spans="1:20" x14ac:dyDescent="0.35">
      <c r="A175">
        <v>174</v>
      </c>
      <c r="B175" t="s">
        <v>670</v>
      </c>
      <c r="C175" s="1">
        <v>45521</v>
      </c>
      <c r="D175" s="1">
        <v>45524</v>
      </c>
      <c r="E175" t="s">
        <v>21</v>
      </c>
      <c r="F175" t="s">
        <v>595</v>
      </c>
      <c r="G175" t="s">
        <v>671</v>
      </c>
      <c r="H175" t="s">
        <v>24</v>
      </c>
      <c r="I175" t="s">
        <v>749</v>
      </c>
      <c r="J175" t="s">
        <v>752</v>
      </c>
      <c r="K175">
        <v>712157</v>
      </c>
      <c r="L175" t="s">
        <v>68</v>
      </c>
      <c r="M175" t="s">
        <v>270</v>
      </c>
      <c r="N175" t="s">
        <v>37</v>
      </c>
      <c r="O175" t="s">
        <v>49</v>
      </c>
      <c r="P175" t="s">
        <v>129</v>
      </c>
      <c r="Q175">
        <v>1314.27</v>
      </c>
      <c r="R175">
        <v>8</v>
      </c>
      <c r="S175">
        <v>0.2</v>
      </c>
      <c r="T175">
        <v>8.85</v>
      </c>
    </row>
    <row r="176" spans="1:20" x14ac:dyDescent="0.35">
      <c r="A176">
        <v>175</v>
      </c>
      <c r="B176" t="s">
        <v>672</v>
      </c>
      <c r="C176" s="1">
        <v>45787</v>
      </c>
      <c r="D176" s="1">
        <v>45789</v>
      </c>
      <c r="E176" t="s">
        <v>21</v>
      </c>
      <c r="F176" t="s">
        <v>673</v>
      </c>
      <c r="G176" t="s">
        <v>674</v>
      </c>
      <c r="H176" t="s">
        <v>24</v>
      </c>
      <c r="I176" t="s">
        <v>749</v>
      </c>
      <c r="J176" t="s">
        <v>752</v>
      </c>
      <c r="K176">
        <v>535481</v>
      </c>
      <c r="L176" t="s">
        <v>25</v>
      </c>
      <c r="M176" t="s">
        <v>318</v>
      </c>
      <c r="N176" t="s">
        <v>37</v>
      </c>
      <c r="O176" t="s">
        <v>55</v>
      </c>
      <c r="P176" t="s">
        <v>675</v>
      </c>
      <c r="Q176">
        <v>126.65</v>
      </c>
      <c r="R176">
        <v>1</v>
      </c>
      <c r="S176">
        <v>0.15</v>
      </c>
      <c r="T176">
        <v>-2.78</v>
      </c>
    </row>
    <row r="177" spans="1:20" x14ac:dyDescent="0.35">
      <c r="A177">
        <v>176</v>
      </c>
      <c r="B177" t="s">
        <v>676</v>
      </c>
      <c r="C177" s="1">
        <v>45419</v>
      </c>
      <c r="D177" s="1">
        <v>45426</v>
      </c>
      <c r="E177" t="s">
        <v>31</v>
      </c>
      <c r="F177" t="s">
        <v>131</v>
      </c>
      <c r="G177" t="s">
        <v>677</v>
      </c>
      <c r="H177" t="s">
        <v>34</v>
      </c>
      <c r="I177" t="s">
        <v>749</v>
      </c>
      <c r="J177" t="s">
        <v>752</v>
      </c>
      <c r="K177">
        <v>251535</v>
      </c>
      <c r="L177" t="s">
        <v>25</v>
      </c>
      <c r="M177" t="s">
        <v>153</v>
      </c>
      <c r="N177" t="s">
        <v>61</v>
      </c>
      <c r="O177" t="s">
        <v>148</v>
      </c>
      <c r="P177" t="s">
        <v>678</v>
      </c>
      <c r="Q177">
        <v>1400.84</v>
      </c>
      <c r="R177">
        <v>9</v>
      </c>
      <c r="S177">
        <v>0.15</v>
      </c>
      <c r="T177">
        <v>346.73</v>
      </c>
    </row>
    <row r="178" spans="1:20" x14ac:dyDescent="0.35">
      <c r="A178">
        <v>177</v>
      </c>
      <c r="B178" t="s">
        <v>679</v>
      </c>
      <c r="C178" s="1">
        <v>45463</v>
      </c>
      <c r="D178" s="1">
        <v>45467</v>
      </c>
      <c r="E178" t="s">
        <v>21</v>
      </c>
      <c r="F178" t="s">
        <v>665</v>
      </c>
      <c r="G178" t="s">
        <v>680</v>
      </c>
      <c r="H178" t="s">
        <v>34</v>
      </c>
      <c r="I178" t="s">
        <v>749</v>
      </c>
      <c r="J178" t="s">
        <v>752</v>
      </c>
      <c r="K178">
        <v>434775</v>
      </c>
      <c r="L178" t="s">
        <v>68</v>
      </c>
      <c r="M178" t="s">
        <v>74</v>
      </c>
      <c r="N178" t="s">
        <v>61</v>
      </c>
      <c r="O178" t="s">
        <v>148</v>
      </c>
      <c r="P178" t="s">
        <v>681</v>
      </c>
      <c r="Q178">
        <v>1155.22</v>
      </c>
      <c r="R178">
        <v>6</v>
      </c>
      <c r="S178">
        <v>0</v>
      </c>
      <c r="T178">
        <v>308.89999999999998</v>
      </c>
    </row>
    <row r="179" spans="1:20" x14ac:dyDescent="0.35">
      <c r="A179">
        <v>178</v>
      </c>
      <c r="B179" t="s">
        <v>682</v>
      </c>
      <c r="C179" s="1">
        <v>45608</v>
      </c>
      <c r="D179" s="1">
        <v>45609</v>
      </c>
      <c r="E179" t="s">
        <v>21</v>
      </c>
      <c r="F179" t="s">
        <v>96</v>
      </c>
      <c r="G179" t="s">
        <v>683</v>
      </c>
      <c r="H179" t="s">
        <v>67</v>
      </c>
      <c r="I179" t="s">
        <v>749</v>
      </c>
      <c r="J179" t="s">
        <v>752</v>
      </c>
      <c r="K179">
        <v>483924</v>
      </c>
      <c r="L179" t="s">
        <v>35</v>
      </c>
      <c r="M179" t="s">
        <v>142</v>
      </c>
      <c r="N179" t="s">
        <v>27</v>
      </c>
      <c r="O179" t="s">
        <v>110</v>
      </c>
      <c r="P179" t="s">
        <v>684</v>
      </c>
      <c r="Q179">
        <v>616.5</v>
      </c>
      <c r="R179">
        <v>3</v>
      </c>
      <c r="S179">
        <v>0</v>
      </c>
      <c r="T179">
        <v>53.22</v>
      </c>
    </row>
    <row r="180" spans="1:20" x14ac:dyDescent="0.35">
      <c r="A180">
        <v>179</v>
      </c>
      <c r="B180" t="s">
        <v>685</v>
      </c>
      <c r="C180" s="1">
        <v>45455</v>
      </c>
      <c r="D180" s="1">
        <v>45461</v>
      </c>
      <c r="E180" t="s">
        <v>52</v>
      </c>
      <c r="F180" t="s">
        <v>86</v>
      </c>
      <c r="G180" t="s">
        <v>686</v>
      </c>
      <c r="H180" t="s">
        <v>34</v>
      </c>
      <c r="I180" t="s">
        <v>749</v>
      </c>
      <c r="J180" t="s">
        <v>752</v>
      </c>
      <c r="K180">
        <v>780292</v>
      </c>
      <c r="L180" t="s">
        <v>35</v>
      </c>
      <c r="M180" t="s">
        <v>546</v>
      </c>
      <c r="N180" t="s">
        <v>37</v>
      </c>
      <c r="O180" t="s">
        <v>38</v>
      </c>
      <c r="P180" t="s">
        <v>616</v>
      </c>
      <c r="Q180">
        <v>1054.42</v>
      </c>
      <c r="R180">
        <v>10</v>
      </c>
      <c r="S180">
        <v>0.15</v>
      </c>
      <c r="T180">
        <v>206.37</v>
      </c>
    </row>
    <row r="181" spans="1:20" x14ac:dyDescent="0.35">
      <c r="A181">
        <v>180</v>
      </c>
      <c r="B181" t="s">
        <v>687</v>
      </c>
      <c r="C181" s="1">
        <v>45595</v>
      </c>
      <c r="D181" s="1">
        <v>45599</v>
      </c>
      <c r="E181" t="s">
        <v>52</v>
      </c>
      <c r="F181" t="s">
        <v>242</v>
      </c>
      <c r="G181" t="s">
        <v>688</v>
      </c>
      <c r="H181" t="s">
        <v>34</v>
      </c>
      <c r="I181" t="s">
        <v>749</v>
      </c>
      <c r="J181" t="s">
        <v>752</v>
      </c>
      <c r="K181">
        <v>139352</v>
      </c>
      <c r="L181" t="s">
        <v>47</v>
      </c>
      <c r="M181" t="s">
        <v>420</v>
      </c>
      <c r="N181" t="s">
        <v>27</v>
      </c>
      <c r="O181" t="s">
        <v>158</v>
      </c>
      <c r="P181" t="s">
        <v>593</v>
      </c>
      <c r="Q181">
        <v>136.69</v>
      </c>
      <c r="R181">
        <v>1</v>
      </c>
      <c r="S181">
        <v>0.2</v>
      </c>
      <c r="T181">
        <v>-5.72</v>
      </c>
    </row>
    <row r="182" spans="1:20" x14ac:dyDescent="0.35">
      <c r="A182">
        <v>181</v>
      </c>
      <c r="B182" t="s">
        <v>689</v>
      </c>
      <c r="C182" s="1">
        <v>45419</v>
      </c>
      <c r="D182" s="1">
        <v>45426</v>
      </c>
      <c r="E182" t="s">
        <v>21</v>
      </c>
      <c r="F182" t="s">
        <v>402</v>
      </c>
      <c r="G182" t="s">
        <v>435</v>
      </c>
      <c r="H182" t="s">
        <v>67</v>
      </c>
      <c r="I182" t="s">
        <v>749</v>
      </c>
      <c r="J182" t="s">
        <v>750</v>
      </c>
      <c r="K182">
        <v>925784</v>
      </c>
      <c r="L182" t="s">
        <v>47</v>
      </c>
      <c r="M182" t="s">
        <v>79</v>
      </c>
      <c r="N182" t="s">
        <v>61</v>
      </c>
      <c r="O182" t="s">
        <v>148</v>
      </c>
      <c r="P182" t="s">
        <v>690</v>
      </c>
      <c r="Q182">
        <v>55.33</v>
      </c>
      <c r="R182">
        <v>4</v>
      </c>
      <c r="S182">
        <v>0</v>
      </c>
      <c r="T182">
        <v>10.029999999999999</v>
      </c>
    </row>
    <row r="183" spans="1:20" x14ac:dyDescent="0.35">
      <c r="A183">
        <v>182</v>
      </c>
      <c r="B183" t="s">
        <v>691</v>
      </c>
      <c r="C183" s="1">
        <v>45342</v>
      </c>
      <c r="D183" s="1">
        <v>45348</v>
      </c>
      <c r="E183" t="s">
        <v>31</v>
      </c>
      <c r="F183" t="s">
        <v>555</v>
      </c>
      <c r="G183" t="s">
        <v>692</v>
      </c>
      <c r="H183" t="s">
        <v>34</v>
      </c>
      <c r="I183" t="s">
        <v>749</v>
      </c>
      <c r="J183" t="s">
        <v>750</v>
      </c>
      <c r="K183">
        <v>474226</v>
      </c>
      <c r="L183" t="s">
        <v>25</v>
      </c>
      <c r="M183" t="s">
        <v>428</v>
      </c>
      <c r="N183" t="s">
        <v>61</v>
      </c>
      <c r="O183" t="s">
        <v>99</v>
      </c>
      <c r="P183" t="s">
        <v>621</v>
      </c>
      <c r="Q183">
        <v>1286.3599999999999</v>
      </c>
      <c r="R183">
        <v>5</v>
      </c>
      <c r="S183">
        <v>0.1</v>
      </c>
      <c r="T183">
        <v>-133.34</v>
      </c>
    </row>
    <row r="184" spans="1:20" x14ac:dyDescent="0.35">
      <c r="A184">
        <v>183</v>
      </c>
      <c r="B184" t="s">
        <v>693</v>
      </c>
      <c r="C184" s="1">
        <v>45441</v>
      </c>
      <c r="D184" s="1">
        <v>45446</v>
      </c>
      <c r="E184" t="s">
        <v>21</v>
      </c>
      <c r="F184" t="s">
        <v>402</v>
      </c>
      <c r="G184" t="s">
        <v>694</v>
      </c>
      <c r="H184" t="s">
        <v>34</v>
      </c>
      <c r="I184" t="s">
        <v>749</v>
      </c>
      <c r="J184" t="s">
        <v>750</v>
      </c>
      <c r="K184">
        <v>651528</v>
      </c>
      <c r="L184" t="s">
        <v>68</v>
      </c>
      <c r="M184" t="s">
        <v>193</v>
      </c>
      <c r="N184" t="s">
        <v>27</v>
      </c>
      <c r="O184" t="s">
        <v>158</v>
      </c>
      <c r="P184" t="s">
        <v>695</v>
      </c>
      <c r="Q184">
        <v>361.7</v>
      </c>
      <c r="R184">
        <v>2</v>
      </c>
      <c r="S184">
        <v>0.2</v>
      </c>
      <c r="T184">
        <v>-36.21</v>
      </c>
    </row>
    <row r="185" spans="1:20" x14ac:dyDescent="0.35">
      <c r="A185">
        <v>184</v>
      </c>
      <c r="B185" t="s">
        <v>696</v>
      </c>
      <c r="C185" s="1">
        <v>45491</v>
      </c>
      <c r="D185" s="1">
        <v>45494</v>
      </c>
      <c r="E185" t="s">
        <v>31</v>
      </c>
      <c r="F185" t="s">
        <v>487</v>
      </c>
      <c r="G185" t="s">
        <v>697</v>
      </c>
      <c r="H185" t="s">
        <v>34</v>
      </c>
      <c r="I185" t="s">
        <v>749</v>
      </c>
      <c r="J185" t="s">
        <v>750</v>
      </c>
      <c r="K185">
        <v>262768</v>
      </c>
      <c r="L185" t="s">
        <v>68</v>
      </c>
      <c r="M185" t="s">
        <v>354</v>
      </c>
      <c r="N185" t="s">
        <v>37</v>
      </c>
      <c r="O185" t="s">
        <v>49</v>
      </c>
      <c r="P185" t="s">
        <v>698</v>
      </c>
      <c r="Q185">
        <v>1311.75</v>
      </c>
      <c r="R185">
        <v>10</v>
      </c>
      <c r="S185">
        <v>0</v>
      </c>
      <c r="T185">
        <v>445.55</v>
      </c>
    </row>
    <row r="186" spans="1:20" x14ac:dyDescent="0.35">
      <c r="A186">
        <v>185</v>
      </c>
      <c r="B186" t="s">
        <v>699</v>
      </c>
      <c r="C186" s="1">
        <v>45600</v>
      </c>
      <c r="D186" s="1">
        <v>45607</v>
      </c>
      <c r="E186" t="s">
        <v>52</v>
      </c>
      <c r="F186" t="s">
        <v>479</v>
      </c>
      <c r="G186" t="s">
        <v>700</v>
      </c>
      <c r="H186" t="s">
        <v>34</v>
      </c>
      <c r="I186" t="s">
        <v>749</v>
      </c>
      <c r="J186" t="s">
        <v>750</v>
      </c>
      <c r="K186">
        <v>880900</v>
      </c>
      <c r="L186" t="s">
        <v>25</v>
      </c>
      <c r="M186" t="s">
        <v>701</v>
      </c>
      <c r="N186" t="s">
        <v>61</v>
      </c>
      <c r="O186" t="s">
        <v>99</v>
      </c>
      <c r="P186" t="s">
        <v>240</v>
      </c>
      <c r="Q186">
        <v>485.75</v>
      </c>
      <c r="R186">
        <v>7</v>
      </c>
      <c r="S186">
        <v>0.2</v>
      </c>
      <c r="T186">
        <v>-23.33</v>
      </c>
    </row>
    <row r="187" spans="1:20" x14ac:dyDescent="0.35">
      <c r="A187">
        <v>186</v>
      </c>
      <c r="B187" t="s">
        <v>702</v>
      </c>
      <c r="C187" s="1">
        <v>45573</v>
      </c>
      <c r="D187" s="1">
        <v>45579</v>
      </c>
      <c r="E187" t="s">
        <v>21</v>
      </c>
      <c r="F187" t="s">
        <v>703</v>
      </c>
      <c r="G187" t="s">
        <v>704</v>
      </c>
      <c r="H187" t="s">
        <v>34</v>
      </c>
      <c r="I187" t="s">
        <v>749</v>
      </c>
      <c r="J187" t="s">
        <v>750</v>
      </c>
      <c r="K187">
        <v>643736</v>
      </c>
      <c r="L187" t="s">
        <v>35</v>
      </c>
      <c r="M187" t="s">
        <v>428</v>
      </c>
      <c r="N187" t="s">
        <v>27</v>
      </c>
      <c r="O187" t="s">
        <v>158</v>
      </c>
      <c r="P187" t="s">
        <v>485</v>
      </c>
      <c r="Q187">
        <v>444.42</v>
      </c>
      <c r="R187">
        <v>6</v>
      </c>
      <c r="S187">
        <v>0.1</v>
      </c>
      <c r="T187">
        <v>116.12</v>
      </c>
    </row>
    <row r="188" spans="1:20" x14ac:dyDescent="0.35">
      <c r="A188">
        <v>187</v>
      </c>
      <c r="B188" t="s">
        <v>705</v>
      </c>
      <c r="C188" s="1">
        <v>45507</v>
      </c>
      <c r="D188" s="1">
        <v>45513</v>
      </c>
      <c r="E188" t="s">
        <v>21</v>
      </c>
      <c r="F188" t="s">
        <v>165</v>
      </c>
      <c r="G188" t="s">
        <v>706</v>
      </c>
      <c r="H188" t="s">
        <v>34</v>
      </c>
      <c r="I188" t="s">
        <v>749</v>
      </c>
      <c r="J188" t="s">
        <v>750</v>
      </c>
      <c r="K188">
        <v>263494</v>
      </c>
      <c r="L188" t="s">
        <v>47</v>
      </c>
      <c r="M188" t="s">
        <v>142</v>
      </c>
      <c r="N188" t="s">
        <v>27</v>
      </c>
      <c r="O188" t="s">
        <v>110</v>
      </c>
      <c r="P188" t="s">
        <v>143</v>
      </c>
      <c r="Q188">
        <v>658.55</v>
      </c>
      <c r="R188">
        <v>10</v>
      </c>
      <c r="S188">
        <v>0.1</v>
      </c>
      <c r="T188">
        <v>-32.61</v>
      </c>
    </row>
    <row r="189" spans="1:20" x14ac:dyDescent="0.35">
      <c r="A189">
        <v>188</v>
      </c>
      <c r="B189" t="s">
        <v>707</v>
      </c>
      <c r="C189" s="1">
        <v>45710</v>
      </c>
      <c r="D189" s="1">
        <v>45715</v>
      </c>
      <c r="E189" t="s">
        <v>52</v>
      </c>
      <c r="F189" t="s">
        <v>113</v>
      </c>
      <c r="G189" t="s">
        <v>708</v>
      </c>
      <c r="H189" t="s">
        <v>67</v>
      </c>
      <c r="I189" t="s">
        <v>749</v>
      </c>
      <c r="J189" t="s">
        <v>750</v>
      </c>
      <c r="K189">
        <v>833820</v>
      </c>
      <c r="L189" t="s">
        <v>68</v>
      </c>
      <c r="M189" t="s">
        <v>543</v>
      </c>
      <c r="N189" t="s">
        <v>27</v>
      </c>
      <c r="O189" t="s">
        <v>158</v>
      </c>
      <c r="P189" t="s">
        <v>709</v>
      </c>
      <c r="Q189">
        <v>1277.23</v>
      </c>
      <c r="R189">
        <v>9</v>
      </c>
      <c r="S189">
        <v>0.05</v>
      </c>
      <c r="T189">
        <v>109.27</v>
      </c>
    </row>
    <row r="190" spans="1:20" x14ac:dyDescent="0.35">
      <c r="A190">
        <v>189</v>
      </c>
      <c r="B190" t="s">
        <v>710</v>
      </c>
      <c r="C190" s="1">
        <v>45486</v>
      </c>
      <c r="D190" s="1">
        <v>45489</v>
      </c>
      <c r="E190" t="s">
        <v>52</v>
      </c>
      <c r="F190" t="s">
        <v>711</v>
      </c>
      <c r="G190" t="s">
        <v>712</v>
      </c>
      <c r="H190" t="s">
        <v>24</v>
      </c>
      <c r="I190" t="s">
        <v>749</v>
      </c>
      <c r="J190" t="s">
        <v>755</v>
      </c>
      <c r="K190">
        <v>200863</v>
      </c>
      <c r="L190" t="s">
        <v>68</v>
      </c>
      <c r="M190" t="s">
        <v>270</v>
      </c>
      <c r="N190" t="s">
        <v>37</v>
      </c>
      <c r="O190" t="s">
        <v>49</v>
      </c>
      <c r="P190" t="s">
        <v>713</v>
      </c>
      <c r="Q190">
        <v>1207.97</v>
      </c>
      <c r="R190">
        <v>2</v>
      </c>
      <c r="S190">
        <v>0.15</v>
      </c>
      <c r="T190">
        <v>338.51</v>
      </c>
    </row>
    <row r="191" spans="1:20" x14ac:dyDescent="0.35">
      <c r="A191">
        <v>190</v>
      </c>
      <c r="B191" t="s">
        <v>714</v>
      </c>
      <c r="C191" s="1">
        <v>45674</v>
      </c>
      <c r="D191" s="1">
        <v>45679</v>
      </c>
      <c r="E191" t="s">
        <v>21</v>
      </c>
      <c r="F191" t="s">
        <v>216</v>
      </c>
      <c r="G191" t="s">
        <v>715</v>
      </c>
      <c r="H191" t="s">
        <v>24</v>
      </c>
      <c r="I191" t="s">
        <v>749</v>
      </c>
      <c r="J191" t="s">
        <v>755</v>
      </c>
      <c r="K191">
        <v>697400</v>
      </c>
      <c r="L191" t="s">
        <v>25</v>
      </c>
      <c r="M191" t="s">
        <v>552</v>
      </c>
      <c r="N191" t="s">
        <v>37</v>
      </c>
      <c r="O191" t="s">
        <v>49</v>
      </c>
      <c r="P191" t="s">
        <v>716</v>
      </c>
      <c r="Q191">
        <v>1448.55</v>
      </c>
      <c r="R191">
        <v>9</v>
      </c>
      <c r="S191">
        <v>0.1</v>
      </c>
      <c r="T191">
        <v>-219.16</v>
      </c>
    </row>
    <row r="192" spans="1:20" x14ac:dyDescent="0.35">
      <c r="A192">
        <v>191</v>
      </c>
      <c r="B192" t="s">
        <v>717</v>
      </c>
      <c r="C192" s="1">
        <v>45332</v>
      </c>
      <c r="D192" s="1">
        <v>45336</v>
      </c>
      <c r="E192" t="s">
        <v>52</v>
      </c>
      <c r="F192" t="s">
        <v>72</v>
      </c>
      <c r="G192" t="s">
        <v>718</v>
      </c>
      <c r="H192" t="s">
        <v>24</v>
      </c>
      <c r="I192" t="s">
        <v>749</v>
      </c>
      <c r="J192" t="s">
        <v>755</v>
      </c>
      <c r="K192">
        <v>116734</v>
      </c>
      <c r="L192" t="s">
        <v>47</v>
      </c>
      <c r="M192" t="s">
        <v>262</v>
      </c>
      <c r="N192" t="s">
        <v>27</v>
      </c>
      <c r="O192" t="s">
        <v>158</v>
      </c>
      <c r="P192" t="s">
        <v>719</v>
      </c>
      <c r="Q192">
        <v>331.11</v>
      </c>
      <c r="R192">
        <v>7</v>
      </c>
      <c r="S192">
        <v>0</v>
      </c>
      <c r="T192">
        <v>76.42</v>
      </c>
    </row>
    <row r="193" spans="1:20" x14ac:dyDescent="0.35">
      <c r="A193">
        <v>192</v>
      </c>
      <c r="B193" t="s">
        <v>720</v>
      </c>
      <c r="C193" s="1">
        <v>45458</v>
      </c>
      <c r="D193" s="1">
        <v>45460</v>
      </c>
      <c r="E193" t="s">
        <v>21</v>
      </c>
      <c r="F193" t="s">
        <v>273</v>
      </c>
      <c r="G193" t="s">
        <v>721</v>
      </c>
      <c r="H193" t="s">
        <v>67</v>
      </c>
      <c r="I193" t="s">
        <v>749</v>
      </c>
      <c r="J193" t="s">
        <v>755</v>
      </c>
      <c r="K193">
        <v>710646</v>
      </c>
      <c r="L193" t="s">
        <v>35</v>
      </c>
      <c r="M193" t="s">
        <v>308</v>
      </c>
      <c r="N193" t="s">
        <v>27</v>
      </c>
      <c r="O193" t="s">
        <v>28</v>
      </c>
      <c r="P193" t="s">
        <v>722</v>
      </c>
      <c r="Q193">
        <v>1425.64</v>
      </c>
      <c r="R193">
        <v>5</v>
      </c>
      <c r="S193">
        <v>0.3</v>
      </c>
      <c r="T193">
        <v>-200.75</v>
      </c>
    </row>
    <row r="194" spans="1:20" x14ac:dyDescent="0.35">
      <c r="A194">
        <v>193</v>
      </c>
      <c r="B194" t="s">
        <v>723</v>
      </c>
      <c r="C194" s="1">
        <v>45598</v>
      </c>
      <c r="D194" s="1">
        <v>45604</v>
      </c>
      <c r="E194" t="s">
        <v>21</v>
      </c>
      <c r="F194" t="s">
        <v>228</v>
      </c>
      <c r="G194" t="s">
        <v>724</v>
      </c>
      <c r="H194" t="s">
        <v>67</v>
      </c>
      <c r="I194" t="s">
        <v>749</v>
      </c>
      <c r="J194" t="s">
        <v>755</v>
      </c>
      <c r="K194">
        <v>730057</v>
      </c>
      <c r="L194" t="s">
        <v>25</v>
      </c>
      <c r="M194" t="s">
        <v>42</v>
      </c>
      <c r="N194" t="s">
        <v>37</v>
      </c>
      <c r="O194" t="s">
        <v>49</v>
      </c>
      <c r="P194" t="s">
        <v>725</v>
      </c>
      <c r="Q194">
        <v>1576.72</v>
      </c>
      <c r="R194">
        <v>1</v>
      </c>
      <c r="S194">
        <v>0.05</v>
      </c>
      <c r="T194">
        <v>-284.66000000000003</v>
      </c>
    </row>
    <row r="195" spans="1:20" x14ac:dyDescent="0.35">
      <c r="A195">
        <v>194</v>
      </c>
      <c r="B195" t="s">
        <v>726</v>
      </c>
      <c r="C195" s="1">
        <v>45706</v>
      </c>
      <c r="D195" s="1">
        <v>45708</v>
      </c>
      <c r="E195" t="s">
        <v>31</v>
      </c>
      <c r="F195" t="s">
        <v>727</v>
      </c>
      <c r="G195" t="s">
        <v>728</v>
      </c>
      <c r="H195" t="s">
        <v>67</v>
      </c>
      <c r="I195" t="s">
        <v>749</v>
      </c>
      <c r="J195" t="s">
        <v>755</v>
      </c>
      <c r="K195">
        <v>610747</v>
      </c>
      <c r="L195" t="s">
        <v>47</v>
      </c>
      <c r="M195" t="s">
        <v>297</v>
      </c>
      <c r="N195" t="s">
        <v>37</v>
      </c>
      <c r="O195" t="s">
        <v>38</v>
      </c>
      <c r="P195" t="s">
        <v>729</v>
      </c>
      <c r="Q195">
        <v>175.6</v>
      </c>
      <c r="R195">
        <v>4</v>
      </c>
      <c r="S195">
        <v>0.15</v>
      </c>
      <c r="T195">
        <v>40.71</v>
      </c>
    </row>
    <row r="196" spans="1:20" x14ac:dyDescent="0.35">
      <c r="A196">
        <v>195</v>
      </c>
      <c r="B196" t="s">
        <v>730</v>
      </c>
      <c r="C196" s="1">
        <v>45484</v>
      </c>
      <c r="D196" s="1">
        <v>45490</v>
      </c>
      <c r="E196" t="s">
        <v>31</v>
      </c>
      <c r="F196" t="s">
        <v>555</v>
      </c>
      <c r="G196" t="s">
        <v>731</v>
      </c>
      <c r="H196" t="s">
        <v>24</v>
      </c>
      <c r="I196" t="s">
        <v>749</v>
      </c>
      <c r="J196" t="s">
        <v>755</v>
      </c>
      <c r="K196">
        <v>928809</v>
      </c>
      <c r="L196" t="s">
        <v>68</v>
      </c>
      <c r="M196" t="s">
        <v>464</v>
      </c>
      <c r="N196" t="s">
        <v>61</v>
      </c>
      <c r="O196" t="s">
        <v>99</v>
      </c>
      <c r="P196" t="s">
        <v>732</v>
      </c>
      <c r="Q196">
        <v>967.26</v>
      </c>
      <c r="R196">
        <v>3</v>
      </c>
      <c r="S196">
        <v>0.15</v>
      </c>
      <c r="T196">
        <v>73.92</v>
      </c>
    </row>
    <row r="197" spans="1:20" x14ac:dyDescent="0.35">
      <c r="A197">
        <v>196</v>
      </c>
      <c r="B197" t="s">
        <v>733</v>
      </c>
      <c r="C197" s="1">
        <v>45473</v>
      </c>
      <c r="D197" s="1">
        <v>45477</v>
      </c>
      <c r="E197" t="s">
        <v>52</v>
      </c>
      <c r="F197" t="s">
        <v>734</v>
      </c>
      <c r="G197" t="s">
        <v>735</v>
      </c>
      <c r="H197" t="s">
        <v>24</v>
      </c>
      <c r="I197" t="s">
        <v>749</v>
      </c>
      <c r="J197" t="s">
        <v>750</v>
      </c>
      <c r="K197">
        <v>906755</v>
      </c>
      <c r="L197" t="s">
        <v>25</v>
      </c>
      <c r="M197" t="s">
        <v>239</v>
      </c>
      <c r="N197" t="s">
        <v>37</v>
      </c>
      <c r="O197" t="s">
        <v>55</v>
      </c>
      <c r="P197" t="s">
        <v>736</v>
      </c>
      <c r="Q197">
        <v>1617.44</v>
      </c>
      <c r="R197">
        <v>10</v>
      </c>
      <c r="S197">
        <v>0.15</v>
      </c>
      <c r="T197">
        <v>-13.67</v>
      </c>
    </row>
    <row r="198" spans="1:20" x14ac:dyDescent="0.35">
      <c r="A198">
        <v>197</v>
      </c>
      <c r="B198" t="s">
        <v>737</v>
      </c>
      <c r="C198" s="1">
        <v>45403</v>
      </c>
      <c r="D198" s="1">
        <v>45408</v>
      </c>
      <c r="E198" t="s">
        <v>52</v>
      </c>
      <c r="F198" t="s">
        <v>352</v>
      </c>
      <c r="G198" t="s">
        <v>738</v>
      </c>
      <c r="H198" t="s">
        <v>67</v>
      </c>
      <c r="I198" t="s">
        <v>749</v>
      </c>
      <c r="J198" t="s">
        <v>752</v>
      </c>
      <c r="K198">
        <v>847393</v>
      </c>
      <c r="L198" t="s">
        <v>47</v>
      </c>
      <c r="M198" t="s">
        <v>739</v>
      </c>
      <c r="N198" t="s">
        <v>27</v>
      </c>
      <c r="O198" t="s">
        <v>158</v>
      </c>
      <c r="P198" t="s">
        <v>740</v>
      </c>
      <c r="Q198">
        <v>895.55</v>
      </c>
      <c r="R198">
        <v>1</v>
      </c>
      <c r="S198">
        <v>0.1</v>
      </c>
      <c r="T198">
        <v>-60.63</v>
      </c>
    </row>
    <row r="199" spans="1:20" x14ac:dyDescent="0.35">
      <c r="A199">
        <v>198</v>
      </c>
      <c r="B199" t="s">
        <v>741</v>
      </c>
      <c r="C199" s="1">
        <v>45556</v>
      </c>
      <c r="D199" s="1">
        <v>45562</v>
      </c>
      <c r="E199" t="s">
        <v>31</v>
      </c>
      <c r="F199" t="s">
        <v>233</v>
      </c>
      <c r="G199" t="s">
        <v>742</v>
      </c>
      <c r="H199" t="s">
        <v>34</v>
      </c>
      <c r="I199" t="s">
        <v>749</v>
      </c>
      <c r="J199" t="s">
        <v>752</v>
      </c>
      <c r="K199">
        <v>908520</v>
      </c>
      <c r="L199" t="s">
        <v>47</v>
      </c>
      <c r="M199" t="s">
        <v>133</v>
      </c>
      <c r="N199" t="s">
        <v>37</v>
      </c>
      <c r="O199" t="s">
        <v>55</v>
      </c>
      <c r="P199" t="s">
        <v>250</v>
      </c>
      <c r="Q199">
        <v>1702.67</v>
      </c>
      <c r="R199">
        <v>7</v>
      </c>
      <c r="S199">
        <v>0.1</v>
      </c>
      <c r="T199">
        <v>106.99</v>
      </c>
    </row>
    <row r="200" spans="1:20" x14ac:dyDescent="0.35">
      <c r="A200">
        <v>199</v>
      </c>
      <c r="B200" t="s">
        <v>743</v>
      </c>
      <c r="C200" s="1">
        <v>45706</v>
      </c>
      <c r="D200" s="1">
        <v>45711</v>
      </c>
      <c r="E200" t="s">
        <v>52</v>
      </c>
      <c r="F200" t="s">
        <v>744</v>
      </c>
      <c r="G200" t="s">
        <v>745</v>
      </c>
      <c r="H200" t="s">
        <v>34</v>
      </c>
      <c r="I200" t="s">
        <v>749</v>
      </c>
      <c r="J200" t="s">
        <v>752</v>
      </c>
      <c r="K200">
        <v>198592</v>
      </c>
      <c r="L200" t="s">
        <v>68</v>
      </c>
      <c r="M200" t="s">
        <v>599</v>
      </c>
      <c r="N200" t="s">
        <v>27</v>
      </c>
      <c r="O200" t="s">
        <v>28</v>
      </c>
      <c r="P200" t="s">
        <v>746</v>
      </c>
      <c r="Q200">
        <v>336.64</v>
      </c>
      <c r="R200">
        <v>1</v>
      </c>
      <c r="S200">
        <v>0.15</v>
      </c>
      <c r="T200">
        <v>75.260000000000005</v>
      </c>
    </row>
    <row r="201" spans="1:20" x14ac:dyDescent="0.35">
      <c r="A201">
        <v>200</v>
      </c>
      <c r="B201" t="s">
        <v>747</v>
      </c>
      <c r="C201" s="1">
        <v>45794</v>
      </c>
      <c r="D201" s="1">
        <v>45798</v>
      </c>
      <c r="E201" t="s">
        <v>31</v>
      </c>
      <c r="F201" t="s">
        <v>216</v>
      </c>
      <c r="G201" t="s">
        <v>748</v>
      </c>
      <c r="H201" t="s">
        <v>34</v>
      </c>
      <c r="I201" t="s">
        <v>749</v>
      </c>
      <c r="J201" t="s">
        <v>752</v>
      </c>
      <c r="K201">
        <v>984319</v>
      </c>
      <c r="L201" t="s">
        <v>68</v>
      </c>
      <c r="M201" t="s">
        <v>330</v>
      </c>
      <c r="N201" t="s">
        <v>27</v>
      </c>
      <c r="O201" t="s">
        <v>158</v>
      </c>
      <c r="P201" t="s">
        <v>510</v>
      </c>
      <c r="Q201">
        <v>658.45</v>
      </c>
      <c r="R201">
        <v>3</v>
      </c>
      <c r="S201">
        <v>0.05</v>
      </c>
      <c r="T201">
        <v>53.48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8F94-2450-40AE-B654-3AACBC5F82D7}">
  <dimension ref="A1:C13"/>
  <sheetViews>
    <sheetView workbookViewId="0">
      <selection activeCell="D24" sqref="D24"/>
    </sheetView>
  </sheetViews>
  <sheetFormatPr defaultRowHeight="14.5" x14ac:dyDescent="0.35"/>
  <cols>
    <col min="1" max="1" width="23.81640625" customWidth="1"/>
    <col min="2" max="2" width="21.453125" customWidth="1"/>
    <col min="3" max="3" width="16.81640625" customWidth="1"/>
  </cols>
  <sheetData>
    <row r="1" spans="1:3" x14ac:dyDescent="0.35">
      <c r="A1" s="7" t="s">
        <v>767</v>
      </c>
      <c r="B1" s="8"/>
      <c r="C1" s="8"/>
    </row>
    <row r="2" spans="1:3" x14ac:dyDescent="0.35">
      <c r="A2" s="3" t="s">
        <v>756</v>
      </c>
      <c r="B2" s="3" t="s">
        <v>758</v>
      </c>
      <c r="C2" s="3" t="s">
        <v>757</v>
      </c>
    </row>
    <row r="3" spans="1:3" x14ac:dyDescent="0.35">
      <c r="A3" t="s">
        <v>759</v>
      </c>
      <c r="B3">
        <f>COUNTBLANK(RetailData[Customer_ID])</f>
        <v>0</v>
      </c>
      <c r="C3" t="str">
        <f>IF(B3=0,"PASS","REVIEW")</f>
        <v>PASS</v>
      </c>
    </row>
    <row r="4" spans="1:3" x14ac:dyDescent="0.35">
      <c r="A4" t="s">
        <v>760</v>
      </c>
      <c r="B4">
        <f>COUNTBLANK(RetailData[Order_ID])</f>
        <v>0</v>
      </c>
      <c r="C4" t="str">
        <f t="shared" ref="C4:C6" si="0">IF(B4=0,"PASS","REVIEW")</f>
        <v>PASS</v>
      </c>
    </row>
    <row r="5" spans="1:3" x14ac:dyDescent="0.35">
      <c r="A5" t="s">
        <v>761</v>
      </c>
      <c r="B5">
        <f>ROWS(RetailData[Row_ID])-ROWS(_xlfn.UNIQUE(RetailData[Row_ID]))</f>
        <v>0</v>
      </c>
      <c r="C5" t="str">
        <f t="shared" si="0"/>
        <v>PASS</v>
      </c>
    </row>
    <row r="6" spans="1:3" x14ac:dyDescent="0.35">
      <c r="A6" t="s">
        <v>762</v>
      </c>
      <c r="B6">
        <f>COUNTIF(RetailData[Sales],"&lt;0")</f>
        <v>0</v>
      </c>
      <c r="C6" t="str">
        <f t="shared" si="0"/>
        <v>PASS</v>
      </c>
    </row>
    <row r="7" spans="1:3" x14ac:dyDescent="0.35">
      <c r="A7" t="s">
        <v>763</v>
      </c>
      <c r="B7">
        <f>COUNTIF(RetailData[Quantity],"&lt;0")</f>
        <v>0</v>
      </c>
      <c r="C7" t="str">
        <f>IF(B7=0,"PASS","REVIEW")</f>
        <v>PASS</v>
      </c>
    </row>
    <row r="8" spans="1:3" x14ac:dyDescent="0.35">
      <c r="A8" t="s">
        <v>764</v>
      </c>
      <c r="B8">
        <f>COUNTIF(RetailData[Discount],"&lt;0")+COUNTIF(RetailData[Discount],"&gt;1")</f>
        <v>0</v>
      </c>
      <c r="C8" t="str">
        <f>IF(B8=0,"PASS","REVIEW")</f>
        <v>PASS</v>
      </c>
    </row>
    <row r="9" spans="1:3" x14ac:dyDescent="0.35">
      <c r="A9" t="s">
        <v>765</v>
      </c>
      <c r="B9" cm="1">
        <f t="array" ref="B9">SUMPRODUCT(--(RetailData[Ship_Date]&lt;RetailData[Order_Date]))</f>
        <v>0</v>
      </c>
      <c r="C9" t="str">
        <f>IF(B9=0,"PASS","REVIEW")</f>
        <v>PASS</v>
      </c>
    </row>
    <row r="10" spans="1:3" x14ac:dyDescent="0.35">
      <c r="A10" t="s">
        <v>766</v>
      </c>
      <c r="B10" cm="1">
        <f t="array" ref="B10">SUMPRODUCT(--(RetailData[Ship_Date]&lt;RetailData[Order_Date]))</f>
        <v>0</v>
      </c>
      <c r="C10" t="str">
        <f>IF(B10=0,"PASS","REVIEW")</f>
        <v>PASS</v>
      </c>
    </row>
    <row r="11" spans="1:3" x14ac:dyDescent="0.35">
      <c r="A11" s="3" t="s">
        <v>768</v>
      </c>
      <c r="B11">
        <f>COUNTA(A3:A10)</f>
        <v>8</v>
      </c>
    </row>
    <row r="12" spans="1:3" x14ac:dyDescent="0.35">
      <c r="A12" s="3" t="s">
        <v>769</v>
      </c>
      <c r="B12">
        <f>COUNTIF(C3:C10,"PASS")</f>
        <v>8</v>
      </c>
    </row>
    <row r="13" spans="1:3" x14ac:dyDescent="0.35">
      <c r="A13" s="3" t="s">
        <v>770</v>
      </c>
      <c r="B13">
        <f>COUNTIF(C3:C10,"REVIEW")</f>
        <v>0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8A4E9-FACC-4E80-99D8-2A5A32FFBF0D}">
  <dimension ref="A1:B15"/>
  <sheetViews>
    <sheetView workbookViewId="0">
      <selection activeCell="C3" sqref="C3"/>
    </sheetView>
  </sheetViews>
  <sheetFormatPr defaultRowHeight="14.5" x14ac:dyDescent="0.35"/>
  <cols>
    <col min="1" max="1" width="18.54296875" customWidth="1"/>
    <col min="2" max="2" width="20.6328125" customWidth="1"/>
  </cols>
  <sheetData>
    <row r="1" spans="1:2" x14ac:dyDescent="0.35">
      <c r="A1" s="3" t="s">
        <v>779</v>
      </c>
      <c r="B1" s="2" t="s">
        <v>179</v>
      </c>
    </row>
    <row r="2" spans="1:2" x14ac:dyDescent="0.35">
      <c r="A2" t="s">
        <v>780</v>
      </c>
      <c r="B2" t="str">
        <f>_xlfn.XLOOKUP(B1,RetailData[Customer_ID],RetailData[Customer_Name],"Not Found")</f>
        <v>Connor Fuller</v>
      </c>
    </row>
    <row r="3" spans="1:2" x14ac:dyDescent="0.35">
      <c r="A3" t="s">
        <v>781</v>
      </c>
      <c r="B3" t="str">
        <f>_xlfn.XLOOKUP(B1,RetailData[Customer_ID],RetailData[Order_ID],"Not Found")</f>
        <v>ORD-1030</v>
      </c>
    </row>
    <row r="4" spans="1:2" x14ac:dyDescent="0.35">
      <c r="A4" t="s">
        <v>782</v>
      </c>
      <c r="B4" s="6">
        <f>_xlfn.XLOOKUP(B1,RetailData[Customer_ID],RetailData[Order_Date],"Not Found")</f>
        <v>45766</v>
      </c>
    </row>
    <row r="5" spans="1:2" x14ac:dyDescent="0.35">
      <c r="A5" t="s">
        <v>788</v>
      </c>
      <c r="B5" s="6">
        <f>_xlfn.XLOOKUP(B1,RetailData[Customer_ID],RetailData[Ship_Date],"Not Found")</f>
        <v>45770</v>
      </c>
    </row>
    <row r="6" spans="1:2" x14ac:dyDescent="0.35">
      <c r="A6" t="s">
        <v>783</v>
      </c>
      <c r="B6" t="str">
        <f>_xlfn.XLOOKUP(B1,RetailData[Customer_ID],RetailData[Ship_Mode],"Not Found")</f>
        <v>First Class</v>
      </c>
    </row>
    <row r="7" spans="1:2" x14ac:dyDescent="0.35">
      <c r="A7" t="s">
        <v>7</v>
      </c>
      <c r="B7" t="str">
        <f>_xlfn.XLOOKUP(B1,RetailData[Customer_ID],RetailData[Segment],"Not Found")</f>
        <v>Home Office</v>
      </c>
    </row>
    <row r="8" spans="1:2" x14ac:dyDescent="0.35">
      <c r="A8" t="s">
        <v>9</v>
      </c>
      <c r="B8" t="str">
        <f>_xlfn.XLOOKUP(B1,RetailData[Customer_ID],RetailData[State],"Not Found")</f>
        <v>PA</v>
      </c>
    </row>
    <row r="9" spans="1:2" x14ac:dyDescent="0.35">
      <c r="A9" t="s">
        <v>784</v>
      </c>
      <c r="B9" s="5">
        <f>_xlfn.XLOOKUP(B1,RetailData[Customer_ID],RetailData[Postal_Code],"Not Found")</f>
        <v>549261</v>
      </c>
    </row>
    <row r="10" spans="1:2" x14ac:dyDescent="0.35">
      <c r="A10" t="s">
        <v>11</v>
      </c>
      <c r="B10" t="str">
        <f>_xlfn.XLOOKUP(B1,RetailData[Customer_ID],RetailData[Region],"Not Found")</f>
        <v>Central</v>
      </c>
    </row>
    <row r="11" spans="1:2" x14ac:dyDescent="0.35">
      <c r="A11" t="s">
        <v>785</v>
      </c>
      <c r="B11" t="str">
        <f>_xlfn.XLOOKUP(B1,RetailData[Customer_ID],RetailData[Product_ID],"Not Found")</f>
        <v>PROD-1008</v>
      </c>
    </row>
    <row r="12" spans="1:2" x14ac:dyDescent="0.35">
      <c r="A12" t="s">
        <v>13</v>
      </c>
      <c r="B12" t="str">
        <f>_xlfn.XLOOKUP(B1,RetailData[Customer_ID],RetailData[Category],"Not Found")</f>
        <v>Office Supplies</v>
      </c>
    </row>
    <row r="13" spans="1:2" x14ac:dyDescent="0.35">
      <c r="A13" t="s">
        <v>786</v>
      </c>
      <c r="B13" t="str">
        <f>_xlfn.XLOOKUP(B1,RetailData[Customer_ID],RetailData[Sub_Category],"Not Found")</f>
        <v>Paper</v>
      </c>
    </row>
    <row r="14" spans="1:2" x14ac:dyDescent="0.35">
      <c r="A14" t="s">
        <v>787</v>
      </c>
      <c r="B14" t="str">
        <f>_xlfn.XLOOKUP(B1,RetailData[Customer_ID],RetailData[Product_Name],"Not Found")</f>
        <v>Paper Product 7</v>
      </c>
    </row>
    <row r="15" spans="1:2" x14ac:dyDescent="0.35">
      <c r="A15" s="3" t="s">
        <v>789</v>
      </c>
      <c r="B15" t="str">
        <f>IF(B2="Not Found","Customer Not Found","Customer Validated")</f>
        <v>Customer Validated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25284C-B633-429D-8C3D-77673C503D31}">
          <x14:formula1>
            <xm:f>Retail_Sales_Analysis_Dataset!$F:$F</xm:f>
          </x14:formula1>
          <xm:sqref>B1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Sales Analysis</vt:lpstr>
      <vt:lpstr>Retail_Sales_Analysis_Dataset</vt:lpstr>
      <vt:lpstr>Data Quality Checks</vt:lpstr>
      <vt:lpstr>Customer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Kashy</dc:creator>
  <cp:lastModifiedBy>risper mukami</cp:lastModifiedBy>
  <dcterms:created xsi:type="dcterms:W3CDTF">2026-08-18T15:10:53Z</dcterms:created>
  <dcterms:modified xsi:type="dcterms:W3CDTF">2026-08-20T07:54:43Z</dcterms:modified>
</cp:coreProperties>
</file>